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om Directory" sheetId="1" state="visible" r:id="rId1"/>
    <sheet xmlns:r="http://schemas.openxmlformats.org/officeDocument/2006/relationships" name="Weekly Calendar" sheetId="2" state="visible" r:id="rId2"/>
    <sheet xmlns:r="http://schemas.openxmlformats.org/officeDocument/2006/relationships" name="Booking Log" sheetId="3" state="visible" r:id="rId3"/>
    <sheet xmlns:r="http://schemas.openxmlformats.org/officeDocument/2006/relationships" name="Analy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QAR #,##0"/>
    <numFmt numFmtId="165" formatCode="yyyy-mm-dd h:mm:ss"/>
    <numFmt numFmtId="166" formatCode="YYYY-MM-DD"/>
    <numFmt numFmtId="167" formatCode="0.0"/>
    <numFmt numFmtId="168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1"/>
    </font>
    <font>
      <b val="1"/>
      <color rgb="00FFFFFF"/>
      <sz val="14"/>
    </font>
    <font>
      <b val="1"/>
    </font>
    <font>
      <color rgb="00006400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4" fillId="0" borderId="0" pivotButton="0" quotePrefix="0" xfId="0"/>
    <xf numFmtId="166" fontId="0" fillId="0" borderId="0" pivotButton="0" quotePrefix="0" xfId="0"/>
    <xf numFmtId="0" fontId="0" fillId="0" borderId="1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6" fillId="0" borderId="0" pivotButton="0" quotePrefix="0" xfId="0"/>
    <xf numFmtId="167" fontId="0" fillId="0" borderId="1" applyAlignment="1" pivotButton="0" quotePrefix="0" xfId="0">
      <alignment horizontal="center" vertical="center"/>
    </xf>
    <xf numFmtId="168" fontId="0" fillId="0" borderId="1" applyAlignment="1" pivotButton="0" quotePrefix="0" xfId="0">
      <alignment horizontal="center" vertical="center"/>
    </xf>
    <xf numFmtId="0" fontId="4" fillId="7" borderId="0" pivotButton="0" quotePrefix="0" xfId="0"/>
    <xf numFmtId="164" fontId="0" fillId="0" borderId="1" pivotButton="0" quotePrefix="0" xfId="0"/>
  </cellXfs>
  <cellStyles count="1">
    <cellStyle name="Normal" xfId="0" builtinId="0" hidden="0"/>
  </cellStyles>
  <dxfs count="5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BDD7EE"/>
          <bgColor rgb="00BDD7EE"/>
        </patternFill>
      </fill>
    </dxf>
    <dxf>
      <fill>
        <patternFill patternType="solid">
          <fgColor rgb="00FF6B6B"/>
          <bgColor rgb="00FF6B6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Bookings by Room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'Analytics'!B13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'Analytics'!$A$14:$A$21</f>
            </numRef>
          </cat>
          <val>
            <numRef>
              <f>'Analytics'!$B$14:$B$21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Bookings by Department</a:t>
            </a:r>
          </a:p>
        </rich>
      </tx>
    </title>
    <plotArea>
      <pieChart>
        <varyColors val="1"/>
        <ser>
          <idx val="0"/>
          <order val="0"/>
          <tx>
            <strRef>
              <f>'Analytics'!B25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'Analytics'!$A$26:$A$32</f>
            </numRef>
          </cat>
          <val>
            <numRef>
              <f>'Analytics'!$B$26:$B$32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11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23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22" customWidth="1" min="4" max="4"/>
    <col width="40" customWidth="1" min="5" max="5"/>
    <col width="18" customWidth="1" min="6" max="6"/>
    <col width="12" customWidth="1" min="7" max="7"/>
  </cols>
  <sheetData>
    <row r="1" ht="35" customHeight="1">
      <c r="A1" s="1" t="inlineStr">
        <is>
          <t>NABTATECH SOLUTIONS - MEETING ROOM DIRECTORY</t>
        </is>
      </c>
    </row>
    <row r="3">
      <c r="A3" s="2" t="inlineStr">
        <is>
          <t>Room Name</t>
        </is>
      </c>
      <c r="B3" s="2" t="inlineStr">
        <is>
          <t>Room Code</t>
        </is>
      </c>
      <c r="C3" s="2" t="inlineStr">
        <is>
          <t>Capacity</t>
        </is>
      </c>
      <c r="D3" s="2" t="inlineStr">
        <is>
          <t>Location</t>
        </is>
      </c>
      <c r="E3" s="2" t="inlineStr">
        <is>
          <t>Equipment</t>
        </is>
      </c>
      <c r="F3" s="2" t="inlineStr">
        <is>
          <t>Hourly Rate (QAR)</t>
        </is>
      </c>
      <c r="G3" s="2" t="inlineStr">
        <is>
          <t>Status</t>
        </is>
      </c>
    </row>
    <row r="4">
      <c r="A4" s="3" t="inlineStr">
        <is>
          <t>Executive Boardroom</t>
        </is>
      </c>
      <c r="B4" s="4" t="inlineStr">
        <is>
          <t>CR-EXEC</t>
        </is>
      </c>
      <c r="C4" s="4" t="n">
        <v>20</v>
      </c>
      <c r="D4" s="3" t="inlineStr">
        <is>
          <t>Floor 5 - Executive Wing</t>
        </is>
      </c>
      <c r="E4" s="3" t="inlineStr">
        <is>
          <t>Projector, Video Conf, Whiteboard, Catering</t>
        </is>
      </c>
      <c r="F4" s="4" t="n">
        <v>500</v>
      </c>
      <c r="G4" s="4" t="inlineStr">
        <is>
          <t>Available</t>
        </is>
      </c>
    </row>
    <row r="5">
      <c r="A5" s="3" t="inlineStr">
        <is>
          <t>Conference Room A</t>
        </is>
      </c>
      <c r="B5" s="4" t="inlineStr">
        <is>
          <t>CR-A</t>
        </is>
      </c>
      <c r="C5" s="4" t="n">
        <v>12</v>
      </c>
      <c r="D5" s="3" t="inlineStr">
        <is>
          <t>Floor 3 - East Wing</t>
        </is>
      </c>
      <c r="E5" s="3" t="inlineStr">
        <is>
          <t>Projector, Video Conf, Whiteboard</t>
        </is>
      </c>
      <c r="F5" s="4" t="n">
        <v>200</v>
      </c>
      <c r="G5" s="4" t="inlineStr">
        <is>
          <t>Available</t>
        </is>
      </c>
    </row>
    <row r="6">
      <c r="A6" s="3" t="inlineStr">
        <is>
          <t>Conference Room B</t>
        </is>
      </c>
      <c r="B6" s="4" t="inlineStr">
        <is>
          <t>CR-B</t>
        </is>
      </c>
      <c r="C6" s="4" t="n">
        <v>12</v>
      </c>
      <c r="D6" s="3" t="inlineStr">
        <is>
          <t>Floor 3 - West Wing</t>
        </is>
      </c>
      <c r="E6" s="3" t="inlineStr">
        <is>
          <t>Projector, Video Conf, Whiteboard</t>
        </is>
      </c>
      <c r="F6" s="4" t="n">
        <v>200</v>
      </c>
      <c r="G6" s="4" t="inlineStr">
        <is>
          <t>Available</t>
        </is>
      </c>
    </row>
    <row r="7">
      <c r="A7" s="3" t="inlineStr">
        <is>
          <t>Meeting Room 1</t>
        </is>
      </c>
      <c r="B7" s="4" t="inlineStr">
        <is>
          <t>MR-1</t>
        </is>
      </c>
      <c r="C7" s="4" t="n">
        <v>8</v>
      </c>
      <c r="D7" s="3" t="inlineStr">
        <is>
          <t>Floor 2 - North</t>
        </is>
      </c>
      <c r="E7" s="3" t="inlineStr">
        <is>
          <t>TV Screen, Video Conf</t>
        </is>
      </c>
      <c r="F7" s="4" t="n">
        <v>100</v>
      </c>
      <c r="G7" s="4" t="inlineStr">
        <is>
          <t>Available</t>
        </is>
      </c>
    </row>
    <row r="8">
      <c r="A8" s="3" t="inlineStr">
        <is>
          <t>Meeting Room 2</t>
        </is>
      </c>
      <c r="B8" s="4" t="inlineStr">
        <is>
          <t>MR-2</t>
        </is>
      </c>
      <c r="C8" s="4" t="n">
        <v>8</v>
      </c>
      <c r="D8" s="3" t="inlineStr">
        <is>
          <t>Floor 2 - South</t>
        </is>
      </c>
      <c r="E8" s="3" t="inlineStr">
        <is>
          <t>TV Screen, Video Conf</t>
        </is>
      </c>
      <c r="F8" s="4" t="n">
        <v>100</v>
      </c>
      <c r="G8" s="4" t="inlineStr">
        <is>
          <t>Available</t>
        </is>
      </c>
    </row>
    <row r="9">
      <c r="A9" s="3" t="inlineStr">
        <is>
          <t>Meeting Room 3</t>
        </is>
      </c>
      <c r="B9" s="4" t="inlineStr">
        <is>
          <t>MR-3</t>
        </is>
      </c>
      <c r="C9" s="4" t="n">
        <v>6</v>
      </c>
      <c r="D9" s="3" t="inlineStr">
        <is>
          <t>Floor 1 - Reception</t>
        </is>
      </c>
      <c r="E9" s="3" t="inlineStr">
        <is>
          <t>TV Screen, Whiteboard</t>
        </is>
      </c>
      <c r="F9" s="4" t="n">
        <v>75</v>
      </c>
      <c r="G9" s="4" t="inlineStr">
        <is>
          <t>Available</t>
        </is>
      </c>
    </row>
    <row r="10">
      <c r="A10" s="3" t="inlineStr">
        <is>
          <t>Training Room</t>
        </is>
      </c>
      <c r="B10" s="4" t="inlineStr">
        <is>
          <t>TR-1</t>
        </is>
      </c>
      <c r="C10" s="4" t="n">
        <v>30</v>
      </c>
      <c r="D10" s="3" t="inlineStr">
        <is>
          <t>Floor 4 - Training Center</t>
        </is>
      </c>
      <c r="E10" s="3" t="inlineStr">
        <is>
          <t>Projector, 15 Workstations, Whiteboard</t>
        </is>
      </c>
      <c r="F10" s="4" t="n">
        <v>350</v>
      </c>
      <c r="G10" s="4" t="inlineStr">
        <is>
          <t>Available</t>
        </is>
      </c>
    </row>
    <row r="11">
      <c r="A11" s="3" t="inlineStr">
        <is>
          <t>Huddle Space A</t>
        </is>
      </c>
      <c r="B11" s="4" t="inlineStr">
        <is>
          <t>HS-A</t>
        </is>
      </c>
      <c r="C11" s="4" t="n">
        <v>4</v>
      </c>
      <c r="D11" s="3" t="inlineStr">
        <is>
          <t>Floor 2 - Open Area</t>
        </is>
      </c>
      <c r="E11" s="3" t="inlineStr">
        <is>
          <t>TV Screen</t>
        </is>
      </c>
      <c r="F11" s="4" t="n">
        <v>50</v>
      </c>
      <c r="G11" s="4" t="inlineStr">
        <is>
          <t>Available</t>
        </is>
      </c>
    </row>
    <row r="12">
      <c r="A12" s="3" t="inlineStr">
        <is>
          <t>Huddle Space B</t>
        </is>
      </c>
      <c r="B12" s="4" t="inlineStr">
        <is>
          <t>HS-B</t>
        </is>
      </c>
      <c r="C12" s="4" t="n">
        <v>4</v>
      </c>
      <c r="D12" s="3" t="inlineStr">
        <is>
          <t>Floor 3 - Open Area</t>
        </is>
      </c>
      <c r="E12" s="3" t="inlineStr">
        <is>
          <t>TV Screen</t>
        </is>
      </c>
      <c r="F12" s="4" t="n">
        <v>50</v>
      </c>
      <c r="G12" s="4" t="inlineStr">
        <is>
          <t>Available</t>
        </is>
      </c>
    </row>
    <row r="13">
      <c r="A13" s="3" t="inlineStr">
        <is>
          <t>Video Conference Suite</t>
        </is>
      </c>
      <c r="B13" s="4" t="inlineStr">
        <is>
          <t>VC-1</t>
        </is>
      </c>
      <c r="C13" s="4" t="n">
        <v>10</v>
      </c>
      <c r="D13" s="3" t="inlineStr">
        <is>
          <t>Floor 4 - IT Wing</t>
        </is>
      </c>
      <c r="E13" s="3" t="inlineStr">
        <is>
          <t>Polycom System, Dual Screens</t>
        </is>
      </c>
      <c r="F13" s="4" t="n">
        <v>250</v>
      </c>
      <c r="G13" s="4" t="inlineStr">
        <is>
          <t>Available</t>
        </is>
      </c>
    </row>
    <row r="16">
      <c r="A16" s="5" t="inlineStr">
        <is>
          <t>ROOM SUMMARY</t>
        </is>
      </c>
    </row>
    <row r="17">
      <c r="A17" s="6" t="inlineStr">
        <is>
          <t>Total Rooms:</t>
        </is>
      </c>
      <c r="B17" s="4">
        <f>COUNTA(A4:A13)</f>
        <v/>
      </c>
    </row>
    <row r="18">
      <c r="A18" s="6" t="inlineStr">
        <is>
          <t>Total Capacity:</t>
        </is>
      </c>
      <c r="B18" s="4">
        <f>SUM(C4:C13)</f>
        <v/>
      </c>
    </row>
    <row r="19">
      <c r="A19" s="6" t="inlineStr">
        <is>
          <t>Available Rooms:</t>
        </is>
      </c>
      <c r="B19" s="4">
        <f>COUNTIF(G4:G13,"Available")</f>
        <v/>
      </c>
    </row>
    <row r="20">
      <c r="A20" s="6" t="inlineStr">
        <is>
          <t>Average Hourly Rate:</t>
        </is>
      </c>
      <c r="B20" s="7">
        <f>AVERAGE(F4:F13)</f>
        <v/>
      </c>
    </row>
  </sheetData>
  <mergeCells count="2">
    <mergeCell ref="A1:G1"/>
    <mergeCell ref="A16:D16"/>
  </mergeCells>
  <conditionalFormatting sqref="G4:G100">
    <cfRule type="cellIs" priority="1" operator="equal" dxfId="0">
      <formula>"Available"</formula>
    </cfRule>
    <cfRule type="cellIs" priority="2" operator="equal" dxfId="1">
      <formula>"Occupied"</formula>
    </cfRule>
    <cfRule type="cellIs" priority="3" operator="equal" dxfId="2">
      <formula>"Maintenance"</formula>
    </cfRule>
    <cfRule type="cellIs" priority="4" operator="equal" dxfId="3">
      <formula>"Reserved"</formula>
    </cfRule>
  </conditionalFormatting>
  <dataValidations count="1">
    <dataValidation sqref="G4:G100" showDropDown="0" showInputMessage="0" showErrorMessage="0" allowBlank="1" type="list">
      <formula1>"Available,Occupied,Maintenance,Reserved"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18" customWidth="1" min="9" max="9"/>
    <col width="25" customWidth="1" min="10" max="10"/>
  </cols>
  <sheetData>
    <row r="1" ht="35" customHeight="1">
      <c r="A1" s="1" t="inlineStr">
        <is>
          <t>MEETING ROOM WEEKLY CALENDAR</t>
        </is>
      </c>
      <c r="I1" s="5" t="inlineStr">
        <is>
          <t>QUICK BOOKING FORM</t>
        </is>
      </c>
    </row>
    <row r="3">
      <c r="A3" s="8" t="inlineStr">
        <is>
          <t>Week Starting:</t>
        </is>
      </c>
      <c r="B3" s="9" t="n">
        <v>46069</v>
      </c>
      <c r="D3" s="8" t="inlineStr">
        <is>
          <t>Room:</t>
        </is>
      </c>
      <c r="E3" t="inlineStr">
        <is>
          <t>Conference Room A</t>
        </is>
      </c>
      <c r="I3" s="6" t="inlineStr">
        <is>
          <t>Meeting Title:</t>
        </is>
      </c>
      <c r="J3" s="10" t="inlineStr"/>
    </row>
    <row r="4">
      <c r="A4" s="8" t="inlineStr">
        <is>
          <t>Legend:</t>
        </is>
      </c>
      <c r="B4" s="11" t="inlineStr">
        <is>
          <t>Free</t>
        </is>
      </c>
      <c r="C4" s="12" t="inlineStr">
        <is>
          <t>Booked</t>
        </is>
      </c>
      <c r="D4" s="13" t="inlineStr">
        <is>
          <t>Pending</t>
        </is>
      </c>
      <c r="E4" s="14" t="inlineStr">
        <is>
          <t>Completed</t>
        </is>
      </c>
      <c r="I4" s="6" t="inlineStr">
        <is>
          <t>Room:</t>
        </is>
      </c>
      <c r="J4" s="10" t="inlineStr">
        <is>
          <t>Conference Room A</t>
        </is>
      </c>
    </row>
    <row r="5">
      <c r="I5" s="6" t="inlineStr">
        <is>
          <t>Date:</t>
        </is>
      </c>
      <c r="J5" s="10" t="inlineStr"/>
    </row>
    <row r="6" ht="35" customHeight="1">
      <c r="A6" s="15" t="inlineStr">
        <is>
          <t>Time</t>
        </is>
      </c>
      <c r="B6" s="15" t="inlineStr">
        <is>
          <t>Monday
16 Feb</t>
        </is>
      </c>
      <c r="C6" s="15" t="inlineStr">
        <is>
          <t>Tuesday
17 Feb</t>
        </is>
      </c>
      <c r="D6" s="15" t="inlineStr">
        <is>
          <t>Wednesday
18 Feb</t>
        </is>
      </c>
      <c r="E6" s="15" t="inlineStr">
        <is>
          <t>Thursday
19 Feb</t>
        </is>
      </c>
      <c r="F6" s="15" t="inlineStr">
        <is>
          <t>Friday
20 Feb</t>
        </is>
      </c>
      <c r="I6" s="6" t="inlineStr">
        <is>
          <t>Start Time:</t>
        </is>
      </c>
      <c r="J6" s="10" t="inlineStr"/>
    </row>
    <row r="7">
      <c r="A7" s="16" t="inlineStr">
        <is>
          <t>08:00</t>
        </is>
      </c>
      <c r="B7" s="17" t="inlineStr">
        <is>
          <t>IT Team Meeting</t>
        </is>
      </c>
      <c r="C7" s="18" t="inlineStr">
        <is>
          <t>Available</t>
        </is>
      </c>
      <c r="D7" s="18" t="inlineStr">
        <is>
          <t>Available</t>
        </is>
      </c>
      <c r="E7" s="17" t="inlineStr">
        <is>
          <t>Board Meeting</t>
        </is>
      </c>
      <c r="F7" s="18" t="inlineStr">
        <is>
          <t>Available</t>
        </is>
      </c>
      <c r="I7" s="6" t="inlineStr">
        <is>
          <t>End Time:</t>
        </is>
      </c>
      <c r="J7" s="10" t="inlineStr"/>
    </row>
    <row r="8">
      <c r="A8" s="16" t="inlineStr">
        <is>
          <t>09:00</t>
        </is>
      </c>
      <c r="B8" s="17" t="inlineStr">
        <is>
          <t>IT Team Meeting</t>
        </is>
      </c>
      <c r="C8" s="18" t="inlineStr">
        <is>
          <t>Available</t>
        </is>
      </c>
      <c r="D8" s="18" t="inlineStr">
        <is>
          <t>Available</t>
        </is>
      </c>
      <c r="E8" s="17" t="inlineStr">
        <is>
          <t>Board Meeting</t>
        </is>
      </c>
      <c r="F8" s="18" t="inlineStr">
        <is>
          <t>Available</t>
        </is>
      </c>
      <c r="I8" s="6" t="inlineStr">
        <is>
          <t>Booked By:</t>
        </is>
      </c>
      <c r="J8" s="10" t="inlineStr"/>
    </row>
    <row r="9">
      <c r="A9" s="16" t="inlineStr">
        <is>
          <t>10:00</t>
        </is>
      </c>
      <c r="B9" s="18" t="inlineStr">
        <is>
          <t>Available</t>
        </is>
      </c>
      <c r="C9" s="17" t="inlineStr">
        <is>
          <t>Client Presentation</t>
        </is>
      </c>
      <c r="D9" s="18" t="inlineStr">
        <is>
          <t>Available</t>
        </is>
      </c>
      <c r="E9" s="17" t="inlineStr">
        <is>
          <t>Board Meeting</t>
        </is>
      </c>
      <c r="F9" s="17" t="inlineStr">
        <is>
          <t>Finance Review</t>
        </is>
      </c>
      <c r="I9" s="6" t="inlineStr">
        <is>
          <t>Department:</t>
        </is>
      </c>
      <c r="J9" s="10" t="inlineStr"/>
    </row>
    <row r="10">
      <c r="A10" s="16" t="inlineStr">
        <is>
          <t>11:00</t>
        </is>
      </c>
      <c r="B10" s="18" t="inlineStr">
        <is>
          <t>Available</t>
        </is>
      </c>
      <c r="C10" s="17" t="inlineStr">
        <is>
          <t>Client Presentation</t>
        </is>
      </c>
      <c r="D10" s="18" t="inlineStr">
        <is>
          <t>Available</t>
        </is>
      </c>
      <c r="E10" s="17" t="inlineStr">
        <is>
          <t>Board Meeting</t>
        </is>
      </c>
      <c r="F10" s="17" t="inlineStr">
        <is>
          <t>Finance Review</t>
        </is>
      </c>
      <c r="I10" s="6" t="inlineStr">
        <is>
          <t>Attendees:</t>
        </is>
      </c>
      <c r="J10" s="10" t="inlineStr"/>
    </row>
    <row r="11">
      <c r="A11" s="16" t="inlineStr">
        <is>
          <t>12:00</t>
        </is>
      </c>
      <c r="B11" s="18" t="inlineStr">
        <is>
          <t>Available</t>
        </is>
      </c>
      <c r="C11" s="17" t="inlineStr">
        <is>
          <t>Client Presentation</t>
        </is>
      </c>
      <c r="D11" s="18" t="inlineStr">
        <is>
          <t>Available</t>
        </is>
      </c>
      <c r="E11" s="18" t="inlineStr">
        <is>
          <t>Available</t>
        </is>
      </c>
      <c r="F11" s="18" t="inlineStr">
        <is>
          <t>Available</t>
        </is>
      </c>
      <c r="I11" s="6" t="inlineStr">
        <is>
          <t>Purpose:</t>
        </is>
      </c>
      <c r="J11" s="10" t="inlineStr"/>
    </row>
    <row r="12">
      <c r="A12" s="16" t="inlineStr">
        <is>
          <t>13:00</t>
        </is>
      </c>
      <c r="B12" s="18" t="inlineStr">
        <is>
          <t>Available</t>
        </is>
      </c>
      <c r="C12" s="18" t="inlineStr">
        <is>
          <t>Available</t>
        </is>
      </c>
      <c r="D12" s="19" t="inlineStr">
        <is>
          <t>HR Interview</t>
        </is>
      </c>
      <c r="E12" s="18" t="inlineStr">
        <is>
          <t>Available</t>
        </is>
      </c>
      <c r="F12" s="18" t="inlineStr">
        <is>
          <t>Available</t>
        </is>
      </c>
      <c r="I12" s="6" t="inlineStr">
        <is>
          <t>Equipment Needed:</t>
        </is>
      </c>
      <c r="J12" s="10" t="inlineStr"/>
    </row>
    <row r="13">
      <c r="A13" s="16" t="inlineStr">
        <is>
          <t>14:00</t>
        </is>
      </c>
      <c r="B13" s="18" t="inlineStr">
        <is>
          <t>Available</t>
        </is>
      </c>
      <c r="C13" s="18" t="inlineStr">
        <is>
          <t>Available</t>
        </is>
      </c>
      <c r="D13" s="19" t="inlineStr">
        <is>
          <t>HR Interview</t>
        </is>
      </c>
      <c r="E13" s="18" t="inlineStr">
        <is>
          <t>Available</t>
        </is>
      </c>
      <c r="F13" s="19" t="inlineStr">
        <is>
          <t>Project Kickoff</t>
        </is>
      </c>
      <c r="I13" s="6" t="inlineStr">
        <is>
          <t>Catering Required:</t>
        </is>
      </c>
      <c r="J13" s="10" t="inlineStr">
        <is>
          <t>No</t>
        </is>
      </c>
    </row>
    <row r="14">
      <c r="A14" s="16" t="inlineStr">
        <is>
          <t>15:00</t>
        </is>
      </c>
      <c r="B14" s="18" t="inlineStr">
        <is>
          <t>Available</t>
        </is>
      </c>
      <c r="C14" s="18" t="inlineStr">
        <is>
          <t>Available</t>
        </is>
      </c>
      <c r="D14" s="18" t="inlineStr">
        <is>
          <t>Available</t>
        </is>
      </c>
      <c r="E14" s="17" t="inlineStr">
        <is>
          <t>Training Session</t>
        </is>
      </c>
      <c r="F14" s="19" t="inlineStr">
        <is>
          <t>Project Kickoff</t>
        </is>
      </c>
      <c r="I14" s="6" t="inlineStr">
        <is>
          <t>Status:</t>
        </is>
      </c>
      <c r="J14" s="10" t="inlineStr">
        <is>
          <t>Pending</t>
        </is>
      </c>
    </row>
    <row r="15">
      <c r="A15" s="16" t="inlineStr">
        <is>
          <t>16:00</t>
        </is>
      </c>
      <c r="B15" s="18" t="inlineStr">
        <is>
          <t>Available</t>
        </is>
      </c>
      <c r="C15" s="18" t="inlineStr">
        <is>
          <t>Available</t>
        </is>
      </c>
      <c r="D15" s="18" t="inlineStr">
        <is>
          <t>Available</t>
        </is>
      </c>
      <c r="E15" s="17" t="inlineStr">
        <is>
          <t>Training Session</t>
        </is>
      </c>
      <c r="F15" s="18" t="inlineStr">
        <is>
          <t>Available</t>
        </is>
      </c>
    </row>
    <row r="16">
      <c r="A16" s="16" t="inlineStr">
        <is>
          <t>17:00</t>
        </is>
      </c>
      <c r="B16" s="18" t="inlineStr">
        <is>
          <t>Available</t>
        </is>
      </c>
      <c r="C16" s="18" t="inlineStr">
        <is>
          <t>Available</t>
        </is>
      </c>
      <c r="D16" s="18" t="inlineStr">
        <is>
          <t>Available</t>
        </is>
      </c>
      <c r="E16" s="17" t="inlineStr">
        <is>
          <t>Training Session</t>
        </is>
      </c>
      <c r="F16" s="18" t="inlineStr">
        <is>
          <t>Available</t>
        </is>
      </c>
    </row>
    <row r="17">
      <c r="A17" s="16" t="inlineStr">
        <is>
          <t>18:00</t>
        </is>
      </c>
      <c r="B17" s="18" t="inlineStr">
        <is>
          <t>Available</t>
        </is>
      </c>
      <c r="C17" s="18" t="inlineStr">
        <is>
          <t>Available</t>
        </is>
      </c>
      <c r="D17" s="18" t="inlineStr">
        <is>
          <t>Available</t>
        </is>
      </c>
      <c r="E17" s="18" t="inlineStr">
        <is>
          <t>Available</t>
        </is>
      </c>
      <c r="F17" s="18" t="inlineStr">
        <is>
          <t>Available</t>
        </is>
      </c>
    </row>
  </sheetData>
  <mergeCells count="2">
    <mergeCell ref="I1:L1"/>
    <mergeCell ref="A1:G1"/>
  </mergeCells>
  <dataValidations count="5">
    <dataValidation sqref="E3 J4" showDropDown="0" showInputMessage="0" showErrorMessage="0" allowBlank="0" type="list">
      <formula1>"Executive Boardroom,Conference Room A,Conference Room B,Meeting Room 1,Meeting Room 2,Meeting Room 3,Training Room,Huddle Space A,Huddle Space B,Video Conference Suite"</formula1>
    </dataValidation>
    <dataValidation sqref="E3 J4" showDropDown="0" showInputMessage="0" showErrorMessage="0" allowBlank="0" type="list">
      <formula1>"Executive Boardroom,Conference Room A,Conference Room B,Meeting Room 1,Meeting Room 2,Meeting Room 3,Training Room,Huddle Space A,Huddle Space B,Video Conference Suite"</formula1>
    </dataValidation>
    <dataValidation sqref="J9" showDropDown="0" showInputMessage="0" showErrorMessage="0" allowBlank="1" type="list">
      <formula1>"IT,HR,Management,Finance,DevOps,Operations,Marketing,Sales"</formula1>
    </dataValidation>
    <dataValidation sqref="J13" showDropDown="0" showInputMessage="0" showErrorMessage="0" allowBlank="1" type="list">
      <formula1>"Yes,No"</formula1>
    </dataValidation>
    <dataValidation sqref="J14" showDropDown="0" showInputMessage="0" showErrorMessage="0" allowBlank="1" type="list">
      <formula1>"Pending,Confirmed,Cancelled,Completed"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10" customWidth="1" min="4" max="4"/>
    <col width="10" customWidth="1" min="5" max="5"/>
    <col width="14" customWidth="1" min="6" max="6"/>
    <col width="16" customWidth="1" min="7" max="7"/>
    <col width="12" customWidth="1" min="8" max="8"/>
    <col width="20" customWidth="1" min="9" max="9"/>
    <col width="10" customWidth="1" min="10" max="10"/>
    <col width="12" customWidth="1" min="11" max="11"/>
    <col width="12" customWidth="1" min="12" max="12"/>
  </cols>
  <sheetData>
    <row r="1" ht="35" customHeight="1">
      <c r="A1" s="1" t="inlineStr">
        <is>
          <t>MEETING ROOM BOOKING LOG</t>
        </is>
      </c>
    </row>
    <row r="3">
      <c r="A3" s="2" t="inlineStr">
        <is>
          <t>Booking ID</t>
        </is>
      </c>
      <c r="B3" s="2" t="inlineStr">
        <is>
          <t>Room</t>
        </is>
      </c>
      <c r="C3" s="2" t="inlineStr">
        <is>
          <t>Date</t>
        </is>
      </c>
      <c r="D3" s="2" t="inlineStr">
        <is>
          <t>Start Time</t>
        </is>
      </c>
      <c r="E3" s="2" t="inlineStr">
        <is>
          <t>End Time</t>
        </is>
      </c>
      <c r="F3" s="2" t="inlineStr">
        <is>
          <t>Duration (hrs)</t>
        </is>
      </c>
      <c r="G3" s="2" t="inlineStr">
        <is>
          <t>Booked By</t>
        </is>
      </c>
      <c r="H3" s="2" t="inlineStr">
        <is>
          <t>Department</t>
        </is>
      </c>
      <c r="I3" s="2" t="inlineStr">
        <is>
          <t>Purpose</t>
        </is>
      </c>
      <c r="J3" s="2" t="inlineStr">
        <is>
          <t>Attendees</t>
        </is>
      </c>
      <c r="K3" s="2" t="inlineStr">
        <is>
          <t>Status</t>
        </is>
      </c>
      <c r="L3" s="2" t="inlineStr">
        <is>
          <t>Cost (QAR)</t>
        </is>
      </c>
    </row>
    <row r="4">
      <c r="A4" s="3" t="inlineStr">
        <is>
          <t>BK-2026-001</t>
        </is>
      </c>
      <c r="B4" s="3" t="inlineStr">
        <is>
          <t>Conference Room A</t>
        </is>
      </c>
      <c r="C4" s="4" t="inlineStr">
        <is>
          <t>2026-02-10</t>
        </is>
      </c>
      <c r="D4" s="4" t="inlineStr">
        <is>
          <t>09:00</t>
        </is>
      </c>
      <c r="E4" s="4" t="inlineStr">
        <is>
          <t>11:00</t>
        </is>
      </c>
      <c r="F4" s="4" t="n">
        <v>2</v>
      </c>
      <c r="G4" s="3" t="inlineStr">
        <is>
          <t>Ahmed Hassan</t>
        </is>
      </c>
      <c r="H4" s="3" t="inlineStr">
        <is>
          <t>IT</t>
        </is>
      </c>
      <c r="I4" s="3" t="inlineStr">
        <is>
          <t>Project Review</t>
        </is>
      </c>
      <c r="J4" s="4" t="n">
        <v>8</v>
      </c>
      <c r="K4" s="4" t="inlineStr">
        <is>
          <t>Completed</t>
        </is>
      </c>
      <c r="L4" s="4" t="n">
        <v>400</v>
      </c>
    </row>
    <row r="5">
      <c r="A5" s="3" t="inlineStr">
        <is>
          <t>BK-2026-002</t>
        </is>
      </c>
      <c r="B5" s="3" t="inlineStr">
        <is>
          <t>Executive Boardroom</t>
        </is>
      </c>
      <c r="C5" s="4" t="inlineStr">
        <is>
          <t>2026-02-10</t>
        </is>
      </c>
      <c r="D5" s="4" t="inlineStr">
        <is>
          <t>14:00</t>
        </is>
      </c>
      <c r="E5" s="4" t="inlineStr">
        <is>
          <t>16:00</t>
        </is>
      </c>
      <c r="F5" s="4" t="n">
        <v>2</v>
      </c>
      <c r="G5" s="3" t="inlineStr">
        <is>
          <t>CEO Office</t>
        </is>
      </c>
      <c r="H5" s="3" t="inlineStr">
        <is>
          <t>Management</t>
        </is>
      </c>
      <c r="I5" s="3" t="inlineStr">
        <is>
          <t>Board Meeting</t>
        </is>
      </c>
      <c r="J5" s="4" t="n">
        <v>15</v>
      </c>
      <c r="K5" s="4" t="inlineStr">
        <is>
          <t>Completed</t>
        </is>
      </c>
      <c r="L5" s="4" t="n">
        <v>1000</v>
      </c>
    </row>
    <row r="6">
      <c r="A6" s="3" t="inlineStr">
        <is>
          <t>BK-2026-003</t>
        </is>
      </c>
      <c r="B6" s="3" t="inlineStr">
        <is>
          <t>Meeting Room 1</t>
        </is>
      </c>
      <c r="C6" s="4" t="inlineStr">
        <is>
          <t>2026-02-11</t>
        </is>
      </c>
      <c r="D6" s="4" t="inlineStr">
        <is>
          <t>10:00</t>
        </is>
      </c>
      <c r="E6" s="4" t="inlineStr">
        <is>
          <t>11:00</t>
        </is>
      </c>
      <c r="F6" s="4" t="n">
        <v>1</v>
      </c>
      <c r="G6" s="3" t="inlineStr">
        <is>
          <t>Sara Ibrahim</t>
        </is>
      </c>
      <c r="H6" s="3" t="inlineStr">
        <is>
          <t>HR</t>
        </is>
      </c>
      <c r="I6" s="3" t="inlineStr">
        <is>
          <t>Interview</t>
        </is>
      </c>
      <c r="J6" s="4" t="n">
        <v>3</v>
      </c>
      <c r="K6" s="4" t="inlineStr">
        <is>
          <t>Completed</t>
        </is>
      </c>
      <c r="L6" s="4" t="n">
        <v>100</v>
      </c>
    </row>
    <row r="7">
      <c r="A7" s="3" t="inlineStr">
        <is>
          <t>BK-2026-004</t>
        </is>
      </c>
      <c r="B7" s="3" t="inlineStr">
        <is>
          <t>Training Room</t>
        </is>
      </c>
      <c r="C7" s="4" t="inlineStr">
        <is>
          <t>2026-02-11</t>
        </is>
      </c>
      <c r="D7" s="4" t="inlineStr">
        <is>
          <t>09:00</t>
        </is>
      </c>
      <c r="E7" s="4" t="inlineStr">
        <is>
          <t>17:00</t>
        </is>
      </c>
      <c r="F7" s="4" t="n">
        <v>8</v>
      </c>
      <c r="G7" s="3" t="inlineStr">
        <is>
          <t>IT Training</t>
        </is>
      </c>
      <c r="H7" s="3" t="inlineStr">
        <is>
          <t>IT</t>
        </is>
      </c>
      <c r="I7" s="3" t="inlineStr">
        <is>
          <t>Azure Workshop</t>
        </is>
      </c>
      <c r="J7" s="4" t="n">
        <v>25</v>
      </c>
      <c r="K7" s="4" t="inlineStr">
        <is>
          <t>Completed</t>
        </is>
      </c>
      <c r="L7" s="4" t="n">
        <v>2800</v>
      </c>
    </row>
    <row r="8">
      <c r="A8" s="3" t="inlineStr">
        <is>
          <t>BK-2026-005</t>
        </is>
      </c>
      <c r="B8" s="3" t="inlineStr">
        <is>
          <t>Conference Room B</t>
        </is>
      </c>
      <c r="C8" s="4" t="inlineStr">
        <is>
          <t>2026-02-12</t>
        </is>
      </c>
      <c r="D8" s="4" t="inlineStr">
        <is>
          <t>13:00</t>
        </is>
      </c>
      <c r="E8" s="4" t="inlineStr">
        <is>
          <t>15:00</t>
        </is>
      </c>
      <c r="F8" s="4" t="n">
        <v>2</v>
      </c>
      <c r="G8" s="3" t="inlineStr">
        <is>
          <t>Finance Team</t>
        </is>
      </c>
      <c r="H8" s="3" t="inlineStr">
        <is>
          <t>Finance</t>
        </is>
      </c>
      <c r="I8" s="3" t="inlineStr">
        <is>
          <t>Budget Review</t>
        </is>
      </c>
      <c r="J8" s="4" t="n">
        <v>6</v>
      </c>
      <c r="K8" s="4" t="inlineStr">
        <is>
          <t>Completed</t>
        </is>
      </c>
      <c r="L8" s="4" t="n">
        <v>400</v>
      </c>
    </row>
    <row r="9">
      <c r="A9" s="3" t="inlineStr">
        <is>
          <t>BK-2026-006</t>
        </is>
      </c>
      <c r="B9" s="3" t="inlineStr">
        <is>
          <t>Video Conference Suite</t>
        </is>
      </c>
      <c r="C9" s="4" t="inlineStr">
        <is>
          <t>2026-02-12</t>
        </is>
      </c>
      <c r="D9" s="4" t="inlineStr">
        <is>
          <t>10:00</t>
        </is>
      </c>
      <c r="E9" s="4" t="inlineStr">
        <is>
          <t>12:00</t>
        </is>
      </c>
      <c r="F9" s="4" t="n">
        <v>2</v>
      </c>
      <c r="G9" s="3" t="inlineStr">
        <is>
          <t>Sales Team</t>
        </is>
      </c>
      <c r="H9" s="3" t="inlineStr">
        <is>
          <t>Sales</t>
        </is>
      </c>
      <c r="I9" s="3" t="inlineStr">
        <is>
          <t>Client Call</t>
        </is>
      </c>
      <c r="J9" s="4" t="n">
        <v>4</v>
      </c>
      <c r="K9" s="4" t="inlineStr">
        <is>
          <t>Completed</t>
        </is>
      </c>
      <c r="L9" s="4" t="n">
        <v>500</v>
      </c>
    </row>
    <row r="10">
      <c r="A10" s="3" t="inlineStr">
        <is>
          <t>BK-2026-007</t>
        </is>
      </c>
      <c r="B10" s="3" t="inlineStr">
        <is>
          <t>Huddle Space A</t>
        </is>
      </c>
      <c r="C10" s="4" t="inlineStr">
        <is>
          <t>2026-02-13</t>
        </is>
      </c>
      <c r="D10" s="4" t="inlineStr">
        <is>
          <t>14:00</t>
        </is>
      </c>
      <c r="E10" s="4" t="inlineStr">
        <is>
          <t>15:00</t>
        </is>
      </c>
      <c r="F10" s="4" t="n">
        <v>1</v>
      </c>
      <c r="G10" s="3" t="inlineStr">
        <is>
          <t>Dev Team</t>
        </is>
      </c>
      <c r="H10" s="3" t="inlineStr">
        <is>
          <t>IT</t>
        </is>
      </c>
      <c r="I10" s="3" t="inlineStr">
        <is>
          <t>Sprint Planning</t>
        </is>
      </c>
      <c r="J10" s="4" t="n">
        <v>4</v>
      </c>
      <c r="K10" s="4" t="inlineStr">
        <is>
          <t>Completed</t>
        </is>
      </c>
      <c r="L10" s="4" t="n">
        <v>50</v>
      </c>
    </row>
    <row r="11">
      <c r="A11" s="3" t="inlineStr">
        <is>
          <t>BK-2026-008</t>
        </is>
      </c>
      <c r="B11" s="3" t="inlineStr">
        <is>
          <t>Conference Room A</t>
        </is>
      </c>
      <c r="C11" s="4" t="inlineStr">
        <is>
          <t>2026-02-13</t>
        </is>
      </c>
      <c r="D11" s="4" t="inlineStr">
        <is>
          <t>09:00</t>
        </is>
      </c>
      <c r="E11" s="4" t="inlineStr">
        <is>
          <t>12:00</t>
        </is>
      </c>
      <c r="F11" s="4" t="n">
        <v>3</v>
      </c>
      <c r="G11" s="3" t="inlineStr">
        <is>
          <t>Marketing</t>
        </is>
      </c>
      <c r="H11" s="3" t="inlineStr">
        <is>
          <t>Marketing</t>
        </is>
      </c>
      <c r="I11" s="3" t="inlineStr">
        <is>
          <t>Campaign Planning</t>
        </is>
      </c>
      <c r="J11" s="4" t="n">
        <v>7</v>
      </c>
      <c r="K11" s="4" t="inlineStr">
        <is>
          <t>Completed</t>
        </is>
      </c>
      <c r="L11" s="4" t="n">
        <v>600</v>
      </c>
    </row>
    <row r="12">
      <c r="A12" s="3" t="inlineStr">
        <is>
          <t>BK-2026-009</t>
        </is>
      </c>
      <c r="B12" s="3" t="inlineStr">
        <is>
          <t>Meeting Room 2</t>
        </is>
      </c>
      <c r="C12" s="4" t="inlineStr">
        <is>
          <t>2026-02-14</t>
        </is>
      </c>
      <c r="D12" s="4" t="inlineStr">
        <is>
          <t>11:00</t>
        </is>
      </c>
      <c r="E12" s="4" t="inlineStr">
        <is>
          <t>12:00</t>
        </is>
      </c>
      <c r="F12" s="4" t="n">
        <v>1</v>
      </c>
      <c r="G12" s="3" t="inlineStr">
        <is>
          <t>Legal Team</t>
        </is>
      </c>
      <c r="H12" s="3" t="inlineStr">
        <is>
          <t>Legal</t>
        </is>
      </c>
      <c r="I12" s="3" t="inlineStr">
        <is>
          <t>Contract Review</t>
        </is>
      </c>
      <c r="J12" s="4" t="n">
        <v>3</v>
      </c>
      <c r="K12" s="4" t="inlineStr">
        <is>
          <t>Completed</t>
        </is>
      </c>
      <c r="L12" s="4" t="n">
        <v>100</v>
      </c>
    </row>
    <row r="13">
      <c r="A13" s="3" t="inlineStr">
        <is>
          <t>BK-2026-010</t>
        </is>
      </c>
      <c r="B13" s="3" t="inlineStr">
        <is>
          <t>Executive Boardroom</t>
        </is>
      </c>
      <c r="C13" s="4" t="inlineStr">
        <is>
          <t>2026-02-14</t>
        </is>
      </c>
      <c r="D13" s="4" t="inlineStr">
        <is>
          <t>14:00</t>
        </is>
      </c>
      <c r="E13" s="4" t="inlineStr">
        <is>
          <t>17:00</t>
        </is>
      </c>
      <c r="F13" s="4" t="n">
        <v>3</v>
      </c>
      <c r="G13" s="3" t="inlineStr">
        <is>
          <t>CEO Office</t>
        </is>
      </c>
      <c r="H13" s="3" t="inlineStr">
        <is>
          <t>Management</t>
        </is>
      </c>
      <c r="I13" s="3" t="inlineStr">
        <is>
          <t>Strategy Session</t>
        </is>
      </c>
      <c r="J13" s="4" t="n">
        <v>12</v>
      </c>
      <c r="K13" s="4" t="inlineStr">
        <is>
          <t>Completed</t>
        </is>
      </c>
      <c r="L13" s="4" t="n">
        <v>1500</v>
      </c>
    </row>
    <row r="14">
      <c r="A14" s="3" t="inlineStr">
        <is>
          <t>BK-2026-011</t>
        </is>
      </c>
      <c r="B14" s="3" t="inlineStr">
        <is>
          <t>Conference Room A</t>
        </is>
      </c>
      <c r="C14" s="4" t="inlineStr">
        <is>
          <t>2026-02-16</t>
        </is>
      </c>
      <c r="D14" s="4" t="inlineStr">
        <is>
          <t>09:00</t>
        </is>
      </c>
      <c r="E14" s="4" t="inlineStr">
        <is>
          <t>11:00</t>
        </is>
      </c>
      <c r="F14" s="4" t="n">
        <v>2</v>
      </c>
      <c r="G14" s="3" t="inlineStr">
        <is>
          <t>IT Team</t>
        </is>
      </c>
      <c r="H14" s="3" t="inlineStr">
        <is>
          <t>IT</t>
        </is>
      </c>
      <c r="I14" s="3" t="inlineStr">
        <is>
          <t>Team Meeting</t>
        </is>
      </c>
      <c r="J14" s="4" t="n">
        <v>10</v>
      </c>
      <c r="K14" s="4" t="inlineStr">
        <is>
          <t>Confirmed</t>
        </is>
      </c>
      <c r="L14" s="4" t="n">
        <v>400</v>
      </c>
    </row>
    <row r="15">
      <c r="A15" s="3" t="inlineStr">
        <is>
          <t>BK-2026-012</t>
        </is>
      </c>
      <c r="B15" s="3" t="inlineStr">
        <is>
          <t>Training Room</t>
        </is>
      </c>
      <c r="C15" s="4" t="inlineStr">
        <is>
          <t>2026-02-17</t>
        </is>
      </c>
      <c r="D15" s="4" t="inlineStr">
        <is>
          <t>09:00</t>
        </is>
      </c>
      <c r="E15" s="4" t="inlineStr">
        <is>
          <t>17:00</t>
        </is>
      </c>
      <c r="F15" s="4" t="n">
        <v>8</v>
      </c>
      <c r="G15" s="3" t="inlineStr">
        <is>
          <t>HR Training</t>
        </is>
      </c>
      <c r="H15" s="3" t="inlineStr">
        <is>
          <t>HR</t>
        </is>
      </c>
      <c r="I15" s="3" t="inlineStr">
        <is>
          <t>Onboarding</t>
        </is>
      </c>
      <c r="J15" s="4" t="n">
        <v>20</v>
      </c>
      <c r="K15" s="4" t="inlineStr">
        <is>
          <t>Confirmed</t>
        </is>
      </c>
      <c r="L15" s="4" t="n">
        <v>2800</v>
      </c>
    </row>
    <row r="16">
      <c r="A16" s="3" t="inlineStr">
        <is>
          <t>BK-2026-013</t>
        </is>
      </c>
      <c r="B16" s="3" t="inlineStr">
        <is>
          <t>Conference Room B</t>
        </is>
      </c>
      <c r="C16" s="4" t="inlineStr">
        <is>
          <t>2026-02-17</t>
        </is>
      </c>
      <c r="D16" s="4" t="inlineStr">
        <is>
          <t>14:00</t>
        </is>
      </c>
      <c r="E16" s="4" t="inlineStr">
        <is>
          <t>16:00</t>
        </is>
      </c>
      <c r="F16" s="4" t="n">
        <v>2</v>
      </c>
      <c r="G16" s="3" t="inlineStr">
        <is>
          <t>Finance</t>
        </is>
      </c>
      <c r="H16" s="3" t="inlineStr">
        <is>
          <t>Finance</t>
        </is>
      </c>
      <c r="I16" s="3" t="inlineStr">
        <is>
          <t>Audit Prep</t>
        </is>
      </c>
      <c r="J16" s="4" t="n">
        <v>5</v>
      </c>
      <c r="K16" s="4" t="inlineStr">
        <is>
          <t>Pending</t>
        </is>
      </c>
      <c r="L16" s="4" t="n">
        <v>400</v>
      </c>
    </row>
    <row r="17">
      <c r="A17" s="3" t="inlineStr">
        <is>
          <t>BK-2026-014</t>
        </is>
      </c>
      <c r="B17" s="3" t="inlineStr">
        <is>
          <t>Meeting Room 1</t>
        </is>
      </c>
      <c r="C17" s="4" t="inlineStr">
        <is>
          <t>2026-02-18</t>
        </is>
      </c>
      <c r="D17" s="4" t="inlineStr">
        <is>
          <t>10:00</t>
        </is>
      </c>
      <c r="E17" s="4" t="inlineStr">
        <is>
          <t>11:00</t>
        </is>
      </c>
      <c r="F17" s="4" t="n">
        <v>1</v>
      </c>
      <c r="G17" s="3" t="inlineStr">
        <is>
          <t>HR Manager</t>
        </is>
      </c>
      <c r="H17" s="3" t="inlineStr">
        <is>
          <t>HR</t>
        </is>
      </c>
      <c r="I17" s="3" t="inlineStr">
        <is>
          <t>Interview</t>
        </is>
      </c>
      <c r="J17" s="4" t="n">
        <v>3</v>
      </c>
      <c r="K17" s="4" t="inlineStr">
        <is>
          <t>Pending</t>
        </is>
      </c>
      <c r="L17" s="4" t="n">
        <v>100</v>
      </c>
    </row>
    <row r="18">
      <c r="A18" s="3" t="inlineStr">
        <is>
          <t>BK-2026-015</t>
        </is>
      </c>
      <c r="B18" s="3" t="inlineStr">
        <is>
          <t>Video Conference Suite</t>
        </is>
      </c>
      <c r="C18" s="4" t="inlineStr">
        <is>
          <t>2026-02-18</t>
        </is>
      </c>
      <c r="D18" s="4" t="inlineStr">
        <is>
          <t>15:00</t>
        </is>
      </c>
      <c r="E18" s="4" t="inlineStr">
        <is>
          <t>17:00</t>
        </is>
      </c>
      <c r="F18" s="4" t="n">
        <v>2</v>
      </c>
      <c r="G18" s="3" t="inlineStr">
        <is>
          <t>Sales</t>
        </is>
      </c>
      <c r="H18" s="3" t="inlineStr">
        <is>
          <t>Sales</t>
        </is>
      </c>
      <c r="I18" s="3" t="inlineStr">
        <is>
          <t>Demo Call</t>
        </is>
      </c>
      <c r="J18" s="4" t="n">
        <v>4</v>
      </c>
      <c r="K18" s="4" t="inlineStr">
        <is>
          <t>Pending</t>
        </is>
      </c>
      <c r="L18" s="4" t="n">
        <v>500</v>
      </c>
    </row>
    <row r="20">
      <c r="A20" s="20" t="inlineStr">
        <is>
          <t>SUMMARY</t>
        </is>
      </c>
    </row>
    <row r="21">
      <c r="A21" s="6" t="inlineStr">
        <is>
          <t>Total Bookings:</t>
        </is>
      </c>
      <c r="B21" s="4">
        <f>COUNTA(A4:A18)</f>
        <v/>
      </c>
    </row>
    <row r="22">
      <c r="A22" s="6" t="inlineStr">
        <is>
          <t>Completed:</t>
        </is>
      </c>
      <c r="B22" s="4">
        <f>COUNTIF(K4:K18,"Completed")</f>
        <v/>
      </c>
    </row>
    <row r="23">
      <c r="A23" s="6" t="inlineStr">
        <is>
          <t>Confirmed:</t>
        </is>
      </c>
      <c r="B23" s="4">
        <f>COUNTIF(K4:K18,"Confirmed")</f>
        <v/>
      </c>
    </row>
    <row r="24">
      <c r="A24" s="6" t="inlineStr">
        <is>
          <t>Pending:</t>
        </is>
      </c>
      <c r="B24" s="4">
        <f>COUNTIF(K4:K18,"Pending")</f>
        <v/>
      </c>
    </row>
    <row r="25">
      <c r="A25" s="6" t="inlineStr">
        <is>
          <t>Total Revenue:</t>
        </is>
      </c>
      <c r="B25" s="7">
        <f>SUM(L4:L18)</f>
        <v/>
      </c>
    </row>
    <row r="26">
      <c r="A26" s="6" t="inlineStr">
        <is>
          <t>Avg Duration (hrs):</t>
        </is>
      </c>
      <c r="B26" s="21">
        <f>AVERAGE(F4:F18)</f>
        <v/>
      </c>
    </row>
  </sheetData>
  <mergeCells count="2">
    <mergeCell ref="A20:B20"/>
    <mergeCell ref="A1:L1"/>
  </mergeCells>
  <conditionalFormatting sqref="K4:K1000">
    <cfRule type="cellIs" priority="1" operator="equal" dxfId="0">
      <formula>"Completed"</formula>
    </cfRule>
    <cfRule type="cellIs" priority="2" operator="equal" dxfId="3">
      <formula>"Confirmed"</formula>
    </cfRule>
    <cfRule type="cellIs" priority="3" operator="equal" dxfId="2">
      <formula>"Pending"</formula>
    </cfRule>
    <cfRule type="cellIs" priority="4" operator="equal" dxfId="1">
      <formula>"Cancelled"</formula>
    </cfRule>
    <cfRule type="cellIs" priority="5" operator="equal" dxfId="4">
      <formula>"No-Show"</formula>
    </cfRule>
  </conditionalFormatting>
  <dataValidations count="1">
    <dataValidation sqref="K4:K1000" showDropDown="0" showInputMessage="0" showErrorMessage="0" allowBlank="1" type="list">
      <formula1>"Pending,Confirmed,Completed,Cancelled,No-Show"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4" customWidth="1" min="3" max="3"/>
    <col width="10" customWidth="1" min="4" max="4"/>
  </cols>
  <sheetData>
    <row r="1" ht="35" customHeight="1">
      <c r="A1" s="1" t="inlineStr">
        <is>
          <t>MEETING ROOM ANALYTICS</t>
        </is>
      </c>
    </row>
    <row r="3">
      <c r="A3" s="5" t="inlineStr">
        <is>
          <t>KEY PERFORMANCE INDICATORS</t>
        </is>
      </c>
    </row>
    <row r="4">
      <c r="A4" s="6" t="inlineStr">
        <is>
          <t>Total Bookings (MTD):</t>
        </is>
      </c>
      <c r="B4" s="4">
        <f>COUNTIFS('Booking Log'!C:C,"&gt;="&amp;DATE(YEAR(TODAY()),MONTH(TODAY()),1))</f>
        <v/>
      </c>
    </row>
    <row r="5">
      <c r="A5" s="6" t="inlineStr">
        <is>
          <t>Room Utilization Rate:</t>
        </is>
      </c>
      <c r="B5" s="22">
        <f>IFERROR(COUNTIF('Booking Log'!K:K,"Completed")/COUNTA('Booking Log'!A:A)*100,0)</f>
        <v/>
      </c>
    </row>
    <row r="6">
      <c r="A6" s="6" t="inlineStr">
        <is>
          <t>Average Booking Duration:</t>
        </is>
      </c>
      <c r="B6" s="21">
        <f>AVERAGE('Booking Log'!F:F)</f>
        <v/>
      </c>
    </row>
    <row r="7">
      <c r="A7" s="6" t="inlineStr">
        <is>
          <t>Total Revenue (MTD):</t>
        </is>
      </c>
      <c r="B7" s="7">
        <f>SUMIFS('Booking Log'!L:L,'Booking Log'!C:C,"&gt;="&amp;DATE(YEAR(TODAY()),MONTH(TODAY()),1))</f>
        <v/>
      </c>
    </row>
    <row r="8">
      <c r="A8" s="6" t="inlineStr">
        <is>
          <t>Most Popular Room:</t>
        </is>
      </c>
      <c r="B8" s="4">
        <f>INDEX('Booking Log'!B:B,MATCH(MAX(COUNTIF('Booking Log'!B:B,'Booking Log'!B:B)),COUNTIF('Booking Log'!B:B,'Booking Log'!B:B),0))</f>
        <v/>
      </c>
    </row>
    <row r="9">
      <c r="A9" s="6" t="inlineStr">
        <is>
          <t>Cancellation Rate:</t>
        </is>
      </c>
      <c r="B9" s="22">
        <f>IFERROR(COUNTIF('Booking Log'!K:K,"Cancelled")/COUNTA('Booking Log'!A:A)*100,0)</f>
        <v/>
      </c>
    </row>
    <row r="12">
      <c r="A12" s="5" t="inlineStr">
        <is>
          <t>BOOKINGS BY ROOM</t>
        </is>
      </c>
    </row>
    <row r="13">
      <c r="A13" s="23" t="inlineStr">
        <is>
          <t>Room</t>
        </is>
      </c>
      <c r="B13" s="23" t="inlineStr">
        <is>
          <t>Bookings</t>
        </is>
      </c>
      <c r="C13" s="23" t="inlineStr">
        <is>
          <t>Revenue</t>
        </is>
      </c>
    </row>
    <row r="14">
      <c r="A14" s="10" t="inlineStr">
        <is>
          <t>Conference Room A</t>
        </is>
      </c>
      <c r="B14" s="10">
        <f>COUNTIF('Booking Log'!B:B,A14)</f>
        <v/>
      </c>
      <c r="C14" s="24">
        <f>SUMIF('Booking Log'!B:B,A14,'Booking Log'!L:L)</f>
        <v/>
      </c>
    </row>
    <row r="15">
      <c r="A15" s="10" t="inlineStr">
        <is>
          <t>Conference Room B</t>
        </is>
      </c>
      <c r="B15" s="10">
        <f>COUNTIF('Booking Log'!B:B,A15)</f>
        <v/>
      </c>
      <c r="C15" s="24">
        <f>SUMIF('Booking Log'!B:B,A15,'Booking Log'!L:L)</f>
        <v/>
      </c>
    </row>
    <row r="16">
      <c r="A16" s="10" t="inlineStr">
        <is>
          <t>Executive Boardroom</t>
        </is>
      </c>
      <c r="B16" s="10">
        <f>COUNTIF('Booking Log'!B:B,A16)</f>
        <v/>
      </c>
      <c r="C16" s="24">
        <f>SUMIF('Booking Log'!B:B,A16,'Booking Log'!L:L)</f>
        <v/>
      </c>
    </row>
    <row r="17">
      <c r="A17" s="10" t="inlineStr">
        <is>
          <t>Meeting Room 1</t>
        </is>
      </c>
      <c r="B17" s="10">
        <f>COUNTIF('Booking Log'!B:B,A17)</f>
        <v/>
      </c>
      <c r="C17" s="24">
        <f>SUMIF('Booking Log'!B:B,A17,'Booking Log'!L:L)</f>
        <v/>
      </c>
    </row>
    <row r="18">
      <c r="A18" s="10" t="inlineStr">
        <is>
          <t>Meeting Room 2</t>
        </is>
      </c>
      <c r="B18" s="10">
        <f>COUNTIF('Booking Log'!B:B,A18)</f>
        <v/>
      </c>
      <c r="C18" s="24">
        <f>SUMIF('Booking Log'!B:B,A18,'Booking Log'!L:L)</f>
        <v/>
      </c>
    </row>
    <row r="19">
      <c r="A19" s="10" t="inlineStr">
        <is>
          <t>Training Room</t>
        </is>
      </c>
      <c r="B19" s="10">
        <f>COUNTIF('Booking Log'!B:B,A19)</f>
        <v/>
      </c>
      <c r="C19" s="24">
        <f>SUMIF('Booking Log'!B:B,A19,'Booking Log'!L:L)</f>
        <v/>
      </c>
    </row>
    <row r="20">
      <c r="A20" s="10" t="inlineStr">
        <is>
          <t>Video Conference Suite</t>
        </is>
      </c>
      <c r="B20" s="10">
        <f>COUNTIF('Booking Log'!B:B,A20)</f>
        <v/>
      </c>
      <c r="C20" s="24">
        <f>SUMIF('Booking Log'!B:B,A20,'Booking Log'!L:L)</f>
        <v/>
      </c>
    </row>
    <row r="21">
      <c r="A21" s="10" t="inlineStr">
        <is>
          <t>Huddle Space A</t>
        </is>
      </c>
      <c r="B21" s="10">
        <f>COUNTIF('Booking Log'!B:B,A21)</f>
        <v/>
      </c>
      <c r="C21" s="24">
        <f>SUMIF('Booking Log'!B:B,A21,'Booking Log'!L:L)</f>
        <v/>
      </c>
    </row>
    <row r="24">
      <c r="A24" s="5" t="inlineStr">
        <is>
          <t>BOOKINGS BY DEPARTMENT</t>
        </is>
      </c>
    </row>
    <row r="25">
      <c r="A25" s="23" t="inlineStr">
        <is>
          <t>Department</t>
        </is>
      </c>
      <c r="B25" s="23" t="inlineStr">
        <is>
          <t>Bookings</t>
        </is>
      </c>
    </row>
    <row r="26">
      <c r="A26" s="10" t="inlineStr">
        <is>
          <t>IT</t>
        </is>
      </c>
      <c r="B26" s="10">
        <f>COUNTIF('Booking Log'!H:H,A26)</f>
        <v/>
      </c>
    </row>
    <row r="27">
      <c r="A27" s="10" t="inlineStr">
        <is>
          <t>HR</t>
        </is>
      </c>
      <c r="B27" s="10">
        <f>COUNTIF('Booking Log'!H:H,A27)</f>
        <v/>
      </c>
    </row>
    <row r="28">
      <c r="A28" s="10" t="inlineStr">
        <is>
          <t>Management</t>
        </is>
      </c>
      <c r="B28" s="10">
        <f>COUNTIF('Booking Log'!H:H,A28)</f>
        <v/>
      </c>
    </row>
    <row r="29">
      <c r="A29" s="10" t="inlineStr">
        <is>
          <t>Finance</t>
        </is>
      </c>
      <c r="B29" s="10">
        <f>COUNTIF('Booking Log'!H:H,A29)</f>
        <v/>
      </c>
    </row>
    <row r="30">
      <c r="A30" s="10" t="inlineStr">
        <is>
          <t>Sales</t>
        </is>
      </c>
      <c r="B30" s="10">
        <f>COUNTIF('Booking Log'!H:H,A30)</f>
        <v/>
      </c>
    </row>
    <row r="31">
      <c r="A31" s="10" t="inlineStr">
        <is>
          <t>Marketing</t>
        </is>
      </c>
      <c r="B31" s="10">
        <f>COUNTIF('Booking Log'!H:H,A31)</f>
        <v/>
      </c>
    </row>
    <row r="32">
      <c r="A32" s="10" t="inlineStr">
        <is>
          <t>Legal</t>
        </is>
      </c>
      <c r="B32" s="10">
        <f>COUNTIF('Booking Log'!H:H,A32)</f>
        <v/>
      </c>
    </row>
  </sheetData>
  <mergeCells count="4">
    <mergeCell ref="A12:D12"/>
    <mergeCell ref="A24:D24"/>
    <mergeCell ref="A3:D3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2026-02-16T03:36:04Z</dcterms:created>
  <dcterms:modified xmlns:dcterms="http://purl.org/dc/terms/" xmlns:xsi="http://www.w3.org/2001/XMLSchema-instance" xsi:type="dcterms:W3CDTF">2026-02-16T03:37:12Z</dcterms:modified>
</cp:coreProperties>
</file>