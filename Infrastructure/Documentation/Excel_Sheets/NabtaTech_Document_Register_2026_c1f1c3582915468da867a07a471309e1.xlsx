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aster List" sheetId="1" state="visible" r:id="rId1"/>
    <sheet xmlns:r="http://schemas.openxmlformats.org/officeDocument/2006/relationships" name="Document Dashboard" sheetId="2" state="visible" r:id="rId2"/>
    <sheet xmlns:r="http://schemas.openxmlformats.org/officeDocument/2006/relationships" name="Review Schedule" sheetId="3" state="visible" r:id="rId3"/>
    <sheet xmlns:r="http://schemas.openxmlformats.org/officeDocument/2006/relationships" name="Version Control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14"/>
    </font>
    <font>
      <b val="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pivotButton="0" quotePrefix="0" xfId="0"/>
    <xf numFmtId="0" fontId="5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'Document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'Document Dashboard'!$A$14:$A$18</f>
            </numRef>
          </cat>
          <val>
            <numRef>
              <f>'Document Dashboard'!$B$14:$B$18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'Document 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'Document Dashboard'!$A$23:$A$28</f>
            </numRef>
          </cat>
          <val>
            <numRef>
              <f>'Document Dashboard'!$B$23:$B$28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 Types</a:t>
            </a:r>
          </a:p>
        </rich>
      </tx>
    </title>
    <plotArea>
      <pieChart>
        <varyColors val="1"/>
        <ser>
          <idx val="0"/>
          <order val="0"/>
          <tx>
            <strRef>
              <f>'Document Dashboard'!B32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'Document Dashboard'!$A$33:$A$38</f>
            </numRef>
          </cat>
          <val>
            <numRef>
              <f>'Document Dashboard'!$B$33:$B$38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30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4" customWidth="1" min="5" max="5"/>
    <col width="8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20" customWidth="1" min="15" max="15"/>
    <col width="25" customWidth="1" min="16" max="16"/>
    <col width="12" customWidth="1" min="17" max="17"/>
    <col width="25" customWidth="1" min="18" max="18"/>
    <col width="14" customWidth="1" min="19" max="19"/>
    <col width="14" customWidth="1" min="20" max="20"/>
  </cols>
  <sheetData>
    <row r="1">
      <c r="A1" s="1" t="inlineStr">
        <is>
          <t>Doc Number</t>
        </is>
      </c>
      <c r="B1" s="1" t="inlineStr">
        <is>
          <t>Document Title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Version</t>
        </is>
      </c>
      <c r="G1" s="1" t="inlineStr">
        <is>
          <t>Author</t>
        </is>
      </c>
      <c r="H1" s="1" t="inlineStr">
        <is>
          <t>Creation Date</t>
        </is>
      </c>
      <c r="I1" s="1" t="inlineStr">
        <is>
          <t>Status</t>
        </is>
      </c>
      <c r="J1" s="1" t="inlineStr">
        <is>
          <t>Review Date</t>
        </is>
      </c>
      <c r="K1" s="1" t="inlineStr">
        <is>
          <t>Approval Date</t>
        </is>
      </c>
      <c r="L1" s="1" t="inlineStr">
        <is>
          <t>Reviewer</t>
        </is>
      </c>
      <c r="M1" s="1" t="inlineStr">
        <is>
          <t>Approver</t>
        </is>
      </c>
      <c r="N1" s="1" t="inlineStr">
        <is>
          <t>Expiry Date</t>
        </is>
      </c>
      <c r="O1" s="1" t="inlineStr">
        <is>
          <t>File Location</t>
        </is>
      </c>
      <c r="P1" s="1" t="inlineStr">
        <is>
          <t>Tags</t>
        </is>
      </c>
      <c r="Q1" s="1" t="inlineStr">
        <is>
          <t>Access Level</t>
        </is>
      </c>
      <c r="R1" s="1" t="inlineStr">
        <is>
          <t>Notes</t>
        </is>
      </c>
      <c r="S1" s="1" t="inlineStr">
        <is>
          <t>Days to Expiry</t>
        </is>
      </c>
      <c r="T1" s="1" t="inlineStr">
        <is>
          <t>Document Age</t>
        </is>
      </c>
    </row>
    <row r="2">
      <c r="A2" s="2" t="inlineStr">
        <is>
          <t>DOC-POL-001</t>
        </is>
      </c>
      <c r="B2" s="2" t="inlineStr">
        <is>
          <t>Information Security Policy</t>
        </is>
      </c>
      <c r="C2" s="2" t="inlineStr">
        <is>
          <t>Policy</t>
        </is>
      </c>
      <c r="D2" s="2" t="inlineStr">
        <is>
          <t>Security</t>
        </is>
      </c>
      <c r="E2" s="2" t="inlineStr">
        <is>
          <t>IT</t>
        </is>
      </c>
      <c r="F2" s="2" t="inlineStr">
        <is>
          <t>2.1</t>
        </is>
      </c>
      <c r="G2" s="2" t="inlineStr">
        <is>
          <t>Ahmed Al-Thani</t>
        </is>
      </c>
      <c r="H2" s="3" t="inlineStr">
        <is>
          <t>2025-01-15</t>
        </is>
      </c>
      <c r="I2" s="2" t="inlineStr">
        <is>
          <t>Approved</t>
        </is>
      </c>
      <c r="J2" s="3" t="inlineStr">
        <is>
          <t>2026-01-15</t>
        </is>
      </c>
      <c r="K2" s="3" t="inlineStr">
        <is>
          <t>2025-01-20</t>
        </is>
      </c>
      <c r="L2" s="2" t="inlineStr">
        <is>
          <t>Sara Ibrahim</t>
        </is>
      </c>
      <c r="M2" s="2" t="inlineStr">
        <is>
          <t>CEO</t>
        </is>
      </c>
      <c r="N2" s="3" t="inlineStr">
        <is>
          <t>2027-01-15</t>
        </is>
      </c>
      <c r="O2" s="2" t="inlineStr">
        <is>
          <t>/policies/security/</t>
        </is>
      </c>
      <c r="P2" s="2" t="inlineStr">
        <is>
          <t>security,IT,compliance</t>
        </is>
      </c>
      <c r="Q2" s="2" t="inlineStr">
        <is>
          <t>Confidential</t>
        </is>
      </c>
      <c r="R2" s="2" t="inlineStr">
        <is>
          <t>Annual review required</t>
        </is>
      </c>
      <c r="S2" s="4">
        <f>IF(N2="","",N2-TODAY())</f>
        <v/>
      </c>
      <c r="T2" s="4">
        <f>IF(H2="","",TODAY()-H2)</f>
        <v/>
      </c>
    </row>
    <row r="3">
      <c r="A3" s="2" t="inlineStr">
        <is>
          <t>DOC-SOP-001</t>
        </is>
      </c>
      <c r="B3" s="2" t="inlineStr">
        <is>
          <t>Visitor Registration Procedure</t>
        </is>
      </c>
      <c r="C3" s="2" t="inlineStr">
        <is>
          <t>Procedure</t>
        </is>
      </c>
      <c r="D3" s="2" t="inlineStr">
        <is>
          <t>Operations</t>
        </is>
      </c>
      <c r="E3" s="2" t="inlineStr">
        <is>
          <t>HR</t>
        </is>
      </c>
      <c r="F3" s="2" t="inlineStr">
        <is>
          <t>1.3</t>
        </is>
      </c>
      <c r="G3" s="2" t="inlineStr">
        <is>
          <t>Fatima Hassan</t>
        </is>
      </c>
      <c r="H3" s="3" t="inlineStr">
        <is>
          <t>2025-03-01</t>
        </is>
      </c>
      <c r="I3" s="2" t="inlineStr">
        <is>
          <t>Approved</t>
        </is>
      </c>
      <c r="J3" s="3" t="inlineStr">
        <is>
          <t>2026-03-01</t>
        </is>
      </c>
      <c r="K3" s="3" t="inlineStr">
        <is>
          <t>2025-03-10</t>
        </is>
      </c>
      <c r="L3" s="2" t="inlineStr">
        <is>
          <t>HR Manager</t>
        </is>
      </c>
      <c r="M3" s="2" t="inlineStr">
        <is>
          <t>COO</t>
        </is>
      </c>
      <c r="N3" s="3" t="inlineStr">
        <is>
          <t>2027-03-01</t>
        </is>
      </c>
      <c r="O3" s="2" t="inlineStr">
        <is>
          <t>/procedures/hr/</t>
        </is>
      </c>
      <c r="P3" s="2" t="inlineStr">
        <is>
          <t>visitors,reception,HR</t>
        </is>
      </c>
      <c r="Q3" s="2" t="inlineStr">
        <is>
          <t>Internal</t>
        </is>
      </c>
      <c r="R3" s="2" t="inlineStr">
        <is>
          <t>Updated for new system</t>
        </is>
      </c>
      <c r="S3" s="4">
        <f>IF(N3="","",N3-TODAY())</f>
        <v/>
      </c>
      <c r="T3" s="4">
        <f>IF(H3="","",TODAY()-H3)</f>
        <v/>
      </c>
    </row>
    <row r="4">
      <c r="A4" s="2" t="inlineStr">
        <is>
          <t>DOC-CON-001</t>
        </is>
      </c>
      <c r="B4" s="2" t="inlineStr">
        <is>
          <t>IT Services Contract - Microsoft</t>
        </is>
      </c>
      <c r="C4" s="2" t="inlineStr">
        <is>
          <t>Contract</t>
        </is>
      </c>
      <c r="D4" s="2" t="inlineStr">
        <is>
          <t>Legal</t>
        </is>
      </c>
      <c r="E4" s="2" t="inlineStr">
        <is>
          <t>IT</t>
        </is>
      </c>
      <c r="F4" s="2" t="inlineStr">
        <is>
          <t>1.0</t>
        </is>
      </c>
      <c r="G4" s="2" t="inlineStr">
        <is>
          <t>Legal Team</t>
        </is>
      </c>
      <c r="H4" s="3" t="inlineStr">
        <is>
          <t>2024-06-01</t>
        </is>
      </c>
      <c r="I4" s="2" t="inlineStr">
        <is>
          <t>Approved</t>
        </is>
      </c>
      <c r="J4" s="3" t="inlineStr">
        <is>
          <t>2025-06-01</t>
        </is>
      </c>
      <c r="K4" s="3" t="inlineStr">
        <is>
          <t>2024-06-15</t>
        </is>
      </c>
      <c r="L4" s="2" t="inlineStr">
        <is>
          <t>Legal Counsel</t>
        </is>
      </c>
      <c r="M4" s="2" t="inlineStr">
        <is>
          <t>CEO</t>
        </is>
      </c>
      <c r="N4" s="3" t="inlineStr">
        <is>
          <t>2026-06-01</t>
        </is>
      </c>
      <c r="O4" s="2" t="inlineStr">
        <is>
          <t>/contracts/it/</t>
        </is>
      </c>
      <c r="P4" s="2" t="inlineStr">
        <is>
          <t>microsoft,cloud,services</t>
        </is>
      </c>
      <c r="Q4" s="2" t="inlineStr">
        <is>
          <t>Restricted</t>
        </is>
      </c>
      <c r="R4" s="2" t="inlineStr">
        <is>
          <t>Renewal pending</t>
        </is>
      </c>
      <c r="S4" s="4">
        <f>IF(N4="","",N4-TODAY())</f>
        <v/>
      </c>
      <c r="T4" s="4">
        <f>IF(H4="","",TODAY()-H4)</f>
        <v/>
      </c>
    </row>
    <row r="5">
      <c r="A5" s="2" t="inlineStr">
        <is>
          <t>DOC-FRM-001</t>
        </is>
      </c>
      <c r="B5" s="2" t="inlineStr">
        <is>
          <t>Leave Application Form</t>
        </is>
      </c>
      <c r="C5" s="2" t="inlineStr">
        <is>
          <t>Form</t>
        </is>
      </c>
      <c r="D5" s="2" t="inlineStr">
        <is>
          <t>HR</t>
        </is>
      </c>
      <c r="E5" s="2" t="inlineStr">
        <is>
          <t>HR</t>
        </is>
      </c>
      <c r="F5" s="2" t="inlineStr">
        <is>
          <t>3.0</t>
        </is>
      </c>
      <c r="G5" s="2" t="inlineStr">
        <is>
          <t>HR Team</t>
        </is>
      </c>
      <c r="H5" s="3" t="inlineStr">
        <is>
          <t>2024-01-01</t>
        </is>
      </c>
      <c r="I5" s="2" t="inlineStr">
        <is>
          <t>Approved</t>
        </is>
      </c>
      <c r="J5" s="3" t="inlineStr">
        <is>
          <t>2025-01-01</t>
        </is>
      </c>
      <c r="K5" s="3" t="inlineStr">
        <is>
          <t>2024-01-05</t>
        </is>
      </c>
      <c r="L5" s="2" t="inlineStr">
        <is>
          <t>HR Manager</t>
        </is>
      </c>
      <c r="M5" s="2" t="inlineStr">
        <is>
          <t>HR Director</t>
        </is>
      </c>
      <c r="N5" s="3" t="inlineStr">
        <is>
          <t>2026-01-01</t>
        </is>
      </c>
      <c r="O5" s="2" t="inlineStr">
        <is>
          <t>/forms/hr/</t>
        </is>
      </c>
      <c r="P5" s="2" t="inlineStr">
        <is>
          <t>leave,HR,employee</t>
        </is>
      </c>
      <c r="Q5" s="2" t="inlineStr">
        <is>
          <t>Public</t>
        </is>
      </c>
      <c r="R5" s="2" t="inlineStr">
        <is>
          <t>Available on intranet</t>
        </is>
      </c>
      <c r="S5" s="4">
        <f>IF(N5="","",N5-TODAY())</f>
        <v/>
      </c>
      <c r="T5" s="4">
        <f>IF(H5="","",TODAY()-H5)</f>
        <v/>
      </c>
    </row>
    <row r="6">
      <c r="A6" s="2" t="inlineStr">
        <is>
          <t>DOC-RPT-001</t>
        </is>
      </c>
      <c r="B6" s="2" t="inlineStr">
        <is>
          <t>Q4 2025 Financial Report</t>
        </is>
      </c>
      <c r="C6" s="2" t="inlineStr">
        <is>
          <t>Report</t>
        </is>
      </c>
      <c r="D6" s="2" t="inlineStr">
        <is>
          <t>Finance</t>
        </is>
      </c>
      <c r="E6" s="2" t="inlineStr">
        <is>
          <t>Finance</t>
        </is>
      </c>
      <c r="F6" s="2" t="inlineStr">
        <is>
          <t>1.0</t>
        </is>
      </c>
      <c r="G6" s="2" t="inlineStr">
        <is>
          <t>Finance Team</t>
        </is>
      </c>
      <c r="H6" s="3" t="inlineStr">
        <is>
          <t>2026-01-10</t>
        </is>
      </c>
      <c r="I6" s="2" t="inlineStr">
        <is>
          <t>Under Review</t>
        </is>
      </c>
      <c r="J6" s="3" t="inlineStr">
        <is>
          <t>2026-02-10</t>
        </is>
      </c>
      <c r="K6" s="3" t="inlineStr"/>
      <c r="L6" s="2" t="inlineStr">
        <is>
          <t>CFO</t>
        </is>
      </c>
      <c r="M6" s="2" t="inlineStr">
        <is>
          <t>CEO</t>
        </is>
      </c>
      <c r="N6" s="3" t="inlineStr">
        <is>
          <t>2027-01-10</t>
        </is>
      </c>
      <c r="O6" s="2" t="inlineStr">
        <is>
          <t>/reports/finance/</t>
        </is>
      </c>
      <c r="P6" s="2" t="inlineStr">
        <is>
          <t>quarterly,finance,2025</t>
        </is>
      </c>
      <c r="Q6" s="2" t="inlineStr">
        <is>
          <t>Confidential</t>
        </is>
      </c>
      <c r="R6" s="2" t="inlineStr">
        <is>
          <t>Pending board approval</t>
        </is>
      </c>
      <c r="S6" s="4">
        <f>IF(N6="","",N6-TODAY())</f>
        <v/>
      </c>
      <c r="T6" s="4">
        <f>IF(H6="","",TODAY()-H6)</f>
        <v/>
      </c>
    </row>
    <row r="7">
      <c r="A7" s="2" t="inlineStr">
        <is>
          <t>DOC-TEC-001</t>
        </is>
      </c>
      <c r="B7" s="2" t="inlineStr">
        <is>
          <t>Network Architecture Document</t>
        </is>
      </c>
      <c r="C7" s="2" t="inlineStr">
        <is>
          <t>Technical</t>
        </is>
      </c>
      <c r="D7" s="2" t="inlineStr">
        <is>
          <t>IT</t>
        </is>
      </c>
      <c r="E7" s="2" t="inlineStr">
        <is>
          <t>IT</t>
        </is>
      </c>
      <c r="F7" s="2" t="inlineStr">
        <is>
          <t>4.2</t>
        </is>
      </c>
      <c r="G7" s="2" t="inlineStr">
        <is>
          <t>IT Infrastructure</t>
        </is>
      </c>
      <c r="H7" s="3" t="inlineStr">
        <is>
          <t>2023-06-01</t>
        </is>
      </c>
      <c r="I7" s="2" t="inlineStr">
        <is>
          <t>Approved</t>
        </is>
      </c>
      <c r="J7" s="3" t="inlineStr">
        <is>
          <t>2024-06-01</t>
        </is>
      </c>
      <c r="K7" s="3" t="inlineStr">
        <is>
          <t>2023-06-15</t>
        </is>
      </c>
      <c r="L7" s="2" t="inlineStr">
        <is>
          <t>IT Director</t>
        </is>
      </c>
      <c r="M7" s="2" t="inlineStr">
        <is>
          <t>CTO</t>
        </is>
      </c>
      <c r="N7" s="3" t="inlineStr">
        <is>
          <t>2025-06-01</t>
        </is>
      </c>
      <c r="O7" s="2" t="inlineStr">
        <is>
          <t>/technical/network/</t>
        </is>
      </c>
      <c r="P7" s="2" t="inlineStr">
        <is>
          <t>network,infrastructure,diagram</t>
        </is>
      </c>
      <c r="Q7" s="2" t="inlineStr">
        <is>
          <t>Restricted</t>
        </is>
      </c>
      <c r="R7" s="2" t="inlineStr">
        <is>
          <t>Update scheduled</t>
        </is>
      </c>
      <c r="S7" s="4">
        <f>IF(N7="","",N7-TODAY())</f>
        <v/>
      </c>
      <c r="T7" s="4">
        <f>IF(H7="","",TODAY()-H7)</f>
        <v/>
      </c>
    </row>
    <row r="8">
      <c r="A8" s="2" t="inlineStr">
        <is>
          <t>DOC-POL-002</t>
        </is>
      </c>
      <c r="B8" s="2" t="inlineStr">
        <is>
          <t>Data Privacy Policy</t>
        </is>
      </c>
      <c r="C8" s="2" t="inlineStr">
        <is>
          <t>Policy</t>
        </is>
      </c>
      <c r="D8" s="2" t="inlineStr">
        <is>
          <t>Compliance</t>
        </is>
      </c>
      <c r="E8" s="2" t="inlineStr">
        <is>
          <t>Legal</t>
        </is>
      </c>
      <c r="F8" s="2" t="inlineStr">
        <is>
          <t>1.5</t>
        </is>
      </c>
      <c r="G8" s="2" t="inlineStr">
        <is>
          <t>Compliance Team</t>
        </is>
      </c>
      <c r="H8" s="3" t="inlineStr">
        <is>
          <t>2025-05-01</t>
        </is>
      </c>
      <c r="I8" s="2" t="inlineStr">
        <is>
          <t>Approved</t>
        </is>
      </c>
      <c r="J8" s="3" t="inlineStr">
        <is>
          <t>2026-05-01</t>
        </is>
      </c>
      <c r="K8" s="3" t="inlineStr">
        <is>
          <t>2025-05-10</t>
        </is>
      </c>
      <c r="L8" s="2" t="inlineStr">
        <is>
          <t>DPO</t>
        </is>
      </c>
      <c r="M8" s="2" t="inlineStr">
        <is>
          <t>CEO</t>
        </is>
      </c>
      <c r="N8" s="3" t="inlineStr">
        <is>
          <t>2027-05-01</t>
        </is>
      </c>
      <c r="O8" s="2" t="inlineStr">
        <is>
          <t>/policies/privacy/</t>
        </is>
      </c>
      <c r="P8" s="2" t="inlineStr">
        <is>
          <t>GDPR,privacy,data</t>
        </is>
      </c>
      <c r="Q8" s="2" t="inlineStr">
        <is>
          <t>Internal</t>
        </is>
      </c>
      <c r="R8" s="2" t="inlineStr">
        <is>
          <t>GDPR compliant</t>
        </is>
      </c>
      <c r="S8" s="4">
        <f>IF(N8="","",N8-TODAY())</f>
        <v/>
      </c>
      <c r="T8" s="4">
        <f>IF(H8="","",TODAY()-H8)</f>
        <v/>
      </c>
    </row>
    <row r="9">
      <c r="A9" s="2" t="inlineStr">
        <is>
          <t>DOC-SOP-002</t>
        </is>
      </c>
      <c r="B9" s="2" t="inlineStr">
        <is>
          <t>Document Control Procedure</t>
        </is>
      </c>
      <c r="C9" s="2" t="inlineStr">
        <is>
          <t>Procedure</t>
        </is>
      </c>
      <c r="D9" s="2" t="inlineStr">
        <is>
          <t>Quality</t>
        </is>
      </c>
      <c r="E9" s="2" t="inlineStr">
        <is>
          <t>Management</t>
        </is>
      </c>
      <c r="F9" s="2" t="inlineStr">
        <is>
          <t>2.0</t>
        </is>
      </c>
      <c r="G9" s="2" t="inlineStr">
        <is>
          <t>Quality Team</t>
        </is>
      </c>
      <c r="H9" s="3" t="inlineStr">
        <is>
          <t>2024-09-01</t>
        </is>
      </c>
      <c r="I9" s="2" t="inlineStr">
        <is>
          <t>Approved</t>
        </is>
      </c>
      <c r="J9" s="3" t="inlineStr">
        <is>
          <t>2025-09-01</t>
        </is>
      </c>
      <c r="K9" s="3" t="inlineStr">
        <is>
          <t>2024-09-10</t>
        </is>
      </c>
      <c r="L9" s="2" t="inlineStr">
        <is>
          <t>Quality Manager</t>
        </is>
      </c>
      <c r="M9" s="2" t="inlineStr">
        <is>
          <t>COO</t>
        </is>
      </c>
      <c r="N9" s="3" t="inlineStr">
        <is>
          <t>2026-09-01</t>
        </is>
      </c>
      <c r="O9" s="2" t="inlineStr">
        <is>
          <t>/procedures/quality/</t>
        </is>
      </c>
      <c r="P9" s="2" t="inlineStr">
        <is>
          <t>documents,control,ISO</t>
        </is>
      </c>
      <c r="Q9" s="2" t="inlineStr">
        <is>
          <t>Internal</t>
        </is>
      </c>
      <c r="R9" s="2" t="inlineStr">
        <is>
          <t>ISO 9001 aligned</t>
        </is>
      </c>
      <c r="S9" s="4">
        <f>IF(N9="","",N9-TODAY())</f>
        <v/>
      </c>
      <c r="T9" s="4">
        <f>IF(H9="","",TODAY()-H9)</f>
        <v/>
      </c>
    </row>
    <row r="10">
      <c r="A10" s="2" t="inlineStr">
        <is>
          <t>DOC-CON-002</t>
        </is>
      </c>
      <c r="B10" s="2" t="inlineStr">
        <is>
          <t>Office Lease Agreement</t>
        </is>
      </c>
      <c r="C10" s="2" t="inlineStr">
        <is>
          <t>Contract</t>
        </is>
      </c>
      <c r="D10" s="2" t="inlineStr">
        <is>
          <t>Legal</t>
        </is>
      </c>
      <c r="E10" s="2" t="inlineStr">
        <is>
          <t>Management</t>
        </is>
      </c>
      <c r="F10" s="2" t="inlineStr">
        <is>
          <t>1.0</t>
        </is>
      </c>
      <c r="G10" s="2" t="inlineStr">
        <is>
          <t>Legal Team</t>
        </is>
      </c>
      <c r="H10" s="3" t="inlineStr">
        <is>
          <t>2023-01-01</t>
        </is>
      </c>
      <c r="I10" s="2" t="inlineStr">
        <is>
          <t>Approved</t>
        </is>
      </c>
      <c r="J10" s="3" t="inlineStr">
        <is>
          <t>2025-01-01</t>
        </is>
      </c>
      <c r="K10" s="3" t="inlineStr">
        <is>
          <t>2023-01-15</t>
        </is>
      </c>
      <c r="L10" s="2" t="inlineStr">
        <is>
          <t>Legal Counsel</t>
        </is>
      </c>
      <c r="M10" s="2" t="inlineStr">
        <is>
          <t>CEO</t>
        </is>
      </c>
      <c r="N10" s="3" t="inlineStr">
        <is>
          <t>2028-01-01</t>
        </is>
      </c>
      <c r="O10" s="2" t="inlineStr">
        <is>
          <t>/contracts/facilities/</t>
        </is>
      </c>
      <c r="P10" s="2" t="inlineStr">
        <is>
          <t>lease,office,facilities</t>
        </is>
      </c>
      <c r="Q10" s="2" t="inlineStr">
        <is>
          <t>Restricted</t>
        </is>
      </c>
      <c r="R10" s="2" t="inlineStr">
        <is>
          <t>5-year term</t>
        </is>
      </c>
      <c r="S10" s="4">
        <f>IF(N10="","",N10-TODAY())</f>
        <v/>
      </c>
      <c r="T10" s="4">
        <f>IF(H10="","",TODAY()-H10)</f>
        <v/>
      </c>
    </row>
    <row r="11">
      <c r="A11" s="2" t="inlineStr">
        <is>
          <t>DOC-FRM-002</t>
        </is>
      </c>
      <c r="B11" s="2" t="inlineStr">
        <is>
          <t>Expense Claim Form</t>
        </is>
      </c>
      <c r="C11" s="2" t="inlineStr">
        <is>
          <t>Form</t>
        </is>
      </c>
      <c r="D11" s="2" t="inlineStr">
        <is>
          <t>Finance</t>
        </is>
      </c>
      <c r="E11" s="2" t="inlineStr">
        <is>
          <t>Finance</t>
        </is>
      </c>
      <c r="F11" s="2" t="inlineStr">
        <is>
          <t>2.5</t>
        </is>
      </c>
      <c r="G11" s="2" t="inlineStr">
        <is>
          <t>Finance Team</t>
        </is>
      </c>
      <c r="H11" s="3" t="inlineStr">
        <is>
          <t>2025-02-01</t>
        </is>
      </c>
      <c r="I11" s="2" t="inlineStr">
        <is>
          <t>Approved</t>
        </is>
      </c>
      <c r="J11" s="3" t="inlineStr">
        <is>
          <t>2026-02-01</t>
        </is>
      </c>
      <c r="K11" s="3" t="inlineStr">
        <is>
          <t>2025-02-10</t>
        </is>
      </c>
      <c r="L11" s="2" t="inlineStr">
        <is>
          <t>Finance Manager</t>
        </is>
      </c>
      <c r="M11" s="2" t="inlineStr">
        <is>
          <t>CFO</t>
        </is>
      </c>
      <c r="N11" s="3" t="inlineStr">
        <is>
          <t>2027-02-01</t>
        </is>
      </c>
      <c r="O11" s="2" t="inlineStr">
        <is>
          <t>/forms/finance/</t>
        </is>
      </c>
      <c r="P11" s="2" t="inlineStr">
        <is>
          <t>expenses,reimbursement,finance</t>
        </is>
      </c>
      <c r="Q11" s="2" t="inlineStr">
        <is>
          <t>Public</t>
        </is>
      </c>
      <c r="R11" s="2" t="inlineStr">
        <is>
          <t>New approval workflow</t>
        </is>
      </c>
      <c r="S11" s="4">
        <f>IF(N11="","",N11-TODAY())</f>
        <v/>
      </c>
      <c r="T11" s="4">
        <f>IF(H11="","",TODAY()-H11)</f>
        <v/>
      </c>
    </row>
    <row r="12">
      <c r="A12" s="2" t="inlineStr">
        <is>
          <t>DOC-POL-003</t>
        </is>
      </c>
      <c r="B12" s="2" t="inlineStr">
        <is>
          <t>Remote Work Policy</t>
        </is>
      </c>
      <c r="C12" s="2" t="inlineStr">
        <is>
          <t>Policy</t>
        </is>
      </c>
      <c r="D12" s="2" t="inlineStr">
        <is>
          <t>HR</t>
        </is>
      </c>
      <c r="E12" s="2" t="inlineStr">
        <is>
          <t>HR</t>
        </is>
      </c>
      <c r="F12" s="2" t="inlineStr">
        <is>
          <t>1.0</t>
        </is>
      </c>
      <c r="G12" s="2" t="inlineStr">
        <is>
          <t>HR Team</t>
        </is>
      </c>
      <c r="H12" s="3" t="inlineStr">
        <is>
          <t>2025-08-01</t>
        </is>
      </c>
      <c r="I12" s="2" t="inlineStr">
        <is>
          <t>Draft</t>
        </is>
      </c>
      <c r="J12" s="3" t="inlineStr"/>
      <c r="K12" s="3" t="inlineStr"/>
      <c r="L12" s="2" t="inlineStr"/>
      <c r="M12" s="2" t="inlineStr"/>
      <c r="N12" s="3" t="inlineStr">
        <is>
          <t>2027-08-01</t>
        </is>
      </c>
      <c r="O12" s="2" t="inlineStr">
        <is>
          <t>/policies/hr/</t>
        </is>
      </c>
      <c r="P12" s="2" t="inlineStr">
        <is>
          <t>remote,WFH,flexible</t>
        </is>
      </c>
      <c r="Q12" s="2" t="inlineStr">
        <is>
          <t>Internal</t>
        </is>
      </c>
      <c r="R12" s="2" t="inlineStr">
        <is>
          <t>Under development</t>
        </is>
      </c>
      <c r="S12" s="4">
        <f>IF(N12="","",N12-TODAY())</f>
        <v/>
      </c>
      <c r="T12" s="4">
        <f>IF(H12="","",TODAY()-H12)</f>
        <v/>
      </c>
    </row>
    <row r="13">
      <c r="A13" s="2" t="inlineStr">
        <is>
          <t>DOC-TEC-002</t>
        </is>
      </c>
      <c r="B13" s="2" t="inlineStr">
        <is>
          <t>API Documentation</t>
        </is>
      </c>
      <c r="C13" s="2" t="inlineStr">
        <is>
          <t>Technical</t>
        </is>
      </c>
      <c r="D13" s="2" t="inlineStr">
        <is>
          <t>Development</t>
        </is>
      </c>
      <c r="E13" s="2" t="inlineStr">
        <is>
          <t>IT</t>
        </is>
      </c>
      <c r="F13" s="2" t="inlineStr">
        <is>
          <t>3.1</t>
        </is>
      </c>
      <c r="G13" s="2" t="inlineStr">
        <is>
          <t>Dev Team</t>
        </is>
      </c>
      <c r="H13" s="3" t="inlineStr">
        <is>
          <t>2025-11-01</t>
        </is>
      </c>
      <c r="I13" s="2" t="inlineStr">
        <is>
          <t>Approved</t>
        </is>
      </c>
      <c r="J13" s="3" t="inlineStr">
        <is>
          <t>2026-11-01</t>
        </is>
      </c>
      <c r="K13" s="3" t="inlineStr">
        <is>
          <t>2025-11-15</t>
        </is>
      </c>
      <c r="L13" s="2" t="inlineStr">
        <is>
          <t>Tech Lead</t>
        </is>
      </c>
      <c r="M13" s="2" t="inlineStr">
        <is>
          <t>CTO</t>
        </is>
      </c>
      <c r="N13" s="3" t="inlineStr">
        <is>
          <t>2027-11-01</t>
        </is>
      </c>
      <c r="O13" s="2" t="inlineStr">
        <is>
          <t>/technical/api/</t>
        </is>
      </c>
      <c r="P13" s="2" t="inlineStr">
        <is>
          <t>API,development,integration</t>
        </is>
      </c>
      <c r="Q13" s="2" t="inlineStr">
        <is>
          <t>Confidential</t>
        </is>
      </c>
      <c r="R13" s="2" t="inlineStr">
        <is>
          <t>Version 3 release</t>
        </is>
      </c>
      <c r="S13" s="4">
        <f>IF(N13="","",N13-TODAY())</f>
        <v/>
      </c>
      <c r="T13" s="4">
        <f>IF(H13="","",TODAY()-H13)</f>
        <v/>
      </c>
    </row>
    <row r="14">
      <c r="A14" s="2" t="inlineStr">
        <is>
          <t>DOC-RPT-002</t>
        </is>
      </c>
      <c r="B14" s="2" t="inlineStr">
        <is>
          <t>Annual HR Report 2025</t>
        </is>
      </c>
      <c r="C14" s="2" t="inlineStr">
        <is>
          <t>Report</t>
        </is>
      </c>
      <c r="D14" s="2" t="inlineStr">
        <is>
          <t>HR</t>
        </is>
      </c>
      <c r="E14" s="2" t="inlineStr">
        <is>
          <t>HR</t>
        </is>
      </c>
      <c r="F14" s="2" t="inlineStr">
        <is>
          <t>1.0</t>
        </is>
      </c>
      <c r="G14" s="2" t="inlineStr">
        <is>
          <t>HR Analytics</t>
        </is>
      </c>
      <c r="H14" s="3" t="inlineStr">
        <is>
          <t>2026-01-20</t>
        </is>
      </c>
      <c r="I14" s="2" t="inlineStr">
        <is>
          <t>Under Review</t>
        </is>
      </c>
      <c r="J14" s="3" t="inlineStr">
        <is>
          <t>2026-02-20</t>
        </is>
      </c>
      <c r="K14" s="3" t="inlineStr"/>
      <c r="L14" s="2" t="inlineStr">
        <is>
          <t>HR Director</t>
        </is>
      </c>
      <c r="M14" s="2" t="inlineStr">
        <is>
          <t>CEO</t>
        </is>
      </c>
      <c r="N14" s="3" t="inlineStr">
        <is>
          <t>2027-01-20</t>
        </is>
      </c>
      <c r="O14" s="2" t="inlineStr">
        <is>
          <t>/reports/hr/</t>
        </is>
      </c>
      <c r="P14" s="2" t="inlineStr">
        <is>
          <t>annual,HR,metrics</t>
        </is>
      </c>
      <c r="Q14" s="2" t="inlineStr">
        <is>
          <t>Internal</t>
        </is>
      </c>
      <c r="R14" s="2" t="inlineStr">
        <is>
          <t>Pending final review</t>
        </is>
      </c>
      <c r="S14" s="4">
        <f>IF(N14="","",N14-TODAY())</f>
        <v/>
      </c>
      <c r="T14" s="4">
        <f>IF(H14="","",TODAY()-H14)</f>
        <v/>
      </c>
    </row>
    <row r="15">
      <c r="A15" s="2" t="inlineStr">
        <is>
          <t>DOC-SOP-003</t>
        </is>
      </c>
      <c r="B15" s="2" t="inlineStr">
        <is>
          <t>Emergency Evacuation Procedure</t>
        </is>
      </c>
      <c r="C15" s="2" t="inlineStr">
        <is>
          <t>Procedure</t>
        </is>
      </c>
      <c r="D15" s="2" t="inlineStr">
        <is>
          <t>Safety</t>
        </is>
      </c>
      <c r="E15" s="2" t="inlineStr">
        <is>
          <t>Operations</t>
        </is>
      </c>
      <c r="F15" s="2" t="inlineStr">
        <is>
          <t>1.2</t>
        </is>
      </c>
      <c r="G15" s="2" t="inlineStr">
        <is>
          <t>Safety Officer</t>
        </is>
      </c>
      <c r="H15" s="3" t="inlineStr">
        <is>
          <t>2024-03-01</t>
        </is>
      </c>
      <c r="I15" s="2" t="inlineStr">
        <is>
          <t>Approved</t>
        </is>
      </c>
      <c r="J15" s="3" t="inlineStr">
        <is>
          <t>2025-03-01</t>
        </is>
      </c>
      <c r="K15" s="3" t="inlineStr">
        <is>
          <t>2024-03-15</t>
        </is>
      </c>
      <c r="L15" s="2" t="inlineStr">
        <is>
          <t>Safety Manager</t>
        </is>
      </c>
      <c r="M15" s="2" t="inlineStr">
        <is>
          <t>COO</t>
        </is>
      </c>
      <c r="N15" s="3" t="inlineStr">
        <is>
          <t>2026-03-01</t>
        </is>
      </c>
      <c r="O15" s="2" t="inlineStr">
        <is>
          <t>/procedures/safety/</t>
        </is>
      </c>
      <c r="P15" s="2" t="inlineStr">
        <is>
          <t>emergency,evacuation,safety</t>
        </is>
      </c>
      <c r="Q15" s="2" t="inlineStr">
        <is>
          <t>Public</t>
        </is>
      </c>
      <c r="R15" s="2" t="inlineStr">
        <is>
          <t>Posted at all exits</t>
        </is>
      </c>
      <c r="S15" s="4">
        <f>IF(N15="","",N15-TODAY())</f>
        <v/>
      </c>
      <c r="T15" s="4">
        <f>IF(H15="","",TODAY()-H15)</f>
        <v/>
      </c>
    </row>
    <row r="16">
      <c r="A16" s="2" t="inlineStr">
        <is>
          <t>DOC-CON-003</t>
        </is>
      </c>
      <c r="B16" s="2" t="inlineStr">
        <is>
          <t>Cleaning Services Contract</t>
        </is>
      </c>
      <c r="C16" s="2" t="inlineStr">
        <is>
          <t>Contract</t>
        </is>
      </c>
      <c r="D16" s="2" t="inlineStr">
        <is>
          <t>Operations</t>
        </is>
      </c>
      <c r="E16" s="2" t="inlineStr">
        <is>
          <t>Operations</t>
        </is>
      </c>
      <c r="F16" s="2" t="inlineStr">
        <is>
          <t>1.0</t>
        </is>
      </c>
      <c r="G16" s="2" t="inlineStr">
        <is>
          <t>Facilities</t>
        </is>
      </c>
      <c r="H16" s="3" t="inlineStr">
        <is>
          <t>2025-07-01</t>
        </is>
      </c>
      <c r="I16" s="2" t="inlineStr">
        <is>
          <t>Approved</t>
        </is>
      </c>
      <c r="J16" s="3" t="inlineStr">
        <is>
          <t>2026-07-01</t>
        </is>
      </c>
      <c r="K16" s="3" t="inlineStr">
        <is>
          <t>2025-07-10</t>
        </is>
      </c>
      <c r="L16" s="2" t="inlineStr">
        <is>
          <t>Facilities Manager</t>
        </is>
      </c>
      <c r="M16" s="2" t="inlineStr">
        <is>
          <t>COO</t>
        </is>
      </c>
      <c r="N16" s="3" t="inlineStr">
        <is>
          <t>2026-07-01</t>
        </is>
      </c>
      <c r="O16" s="2" t="inlineStr">
        <is>
          <t>/contracts/facilities/</t>
        </is>
      </c>
      <c r="P16" s="2" t="inlineStr">
        <is>
          <t>cleaning,maintenance,facilities</t>
        </is>
      </c>
      <c r="Q16" s="2" t="inlineStr">
        <is>
          <t>Internal</t>
        </is>
      </c>
      <c r="R16" s="2" t="inlineStr">
        <is>
          <t>Annual renewal</t>
        </is>
      </c>
      <c r="S16" s="4">
        <f>IF(N16="","",N16-TODAY())</f>
        <v/>
      </c>
      <c r="T16" s="4">
        <f>IF(H16="","",TODAY()-H16)</f>
        <v/>
      </c>
    </row>
  </sheetData>
  <conditionalFormatting sqref="I2:I1000">
    <cfRule type="cellIs" priority="1" operator="equal" dxfId="0">
      <formula>"Draft"</formula>
    </cfRule>
    <cfRule type="cellIs" priority="2" operator="equal" dxfId="1">
      <formula>"Under Review"</formula>
    </cfRule>
    <cfRule type="cellIs" priority="3" operator="equal" dxfId="2">
      <formula>"Approved"</formula>
    </cfRule>
    <cfRule type="cellIs" priority="4" operator="equal" dxfId="3">
      <formula>"Archived"</formula>
    </cfRule>
    <cfRule type="cellIs" priority="5" operator="equal" dxfId="4">
      <formula>"Obsolete"</formula>
    </cfRule>
  </conditionalFormatting>
  <conditionalFormatting sqref="S2:S1000">
    <cfRule type="colorScale" priority="6">
      <colorScale>
        <cfvo type="num" val="-30"/>
        <cfvo type="num" val="30"/>
        <cfvo type="num" val="365"/>
        <color rgb="00F8696B"/>
        <color rgb="00FFEB84"/>
        <color rgb="0063BE7B"/>
      </colorScale>
    </cfRule>
  </conditionalFormatting>
  <dataValidations count="3">
    <dataValidation sqref="C2:C1000" showDropDown="0" showInputMessage="0" showErrorMessage="0" allowBlank="1" type="list">
      <formula1>"Contract,Policy,Procedure,Form,Report,Technical"</formula1>
    </dataValidation>
    <dataValidation sqref="I2:I1000" showDropDown="0" showInputMessage="0" showErrorMessage="0" allowBlank="1" type="list">
      <formula1>"Draft,Under Review,Approved,Archived,Obsolete"</formula1>
    </dataValidation>
    <dataValidation sqref="Q2:Q10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</cols>
  <sheetData>
    <row r="1" ht="35" customHeight="1">
      <c r="A1" s="5" t="inlineStr">
        <is>
          <t>DOCUMENT CONTROL DASHBOARD</t>
        </is>
      </c>
    </row>
    <row r="3">
      <c r="A3" s="6" t="inlineStr">
        <is>
          <t>KEY METRICS</t>
        </is>
      </c>
    </row>
    <row r="4">
      <c r="A4" s="7" t="inlineStr">
        <is>
          <t>Total Documents:</t>
        </is>
      </c>
      <c r="B4" s="3">
        <f>COUNTA('Document Master List'!A:A)-1</f>
        <v/>
      </c>
    </row>
    <row r="5">
      <c r="A5" s="7" t="inlineStr">
        <is>
          <t>Approved:</t>
        </is>
      </c>
      <c r="B5" s="3">
        <f>COUNTIF('Document Master List'!I:I,"Approved")</f>
        <v/>
      </c>
    </row>
    <row r="6">
      <c r="A6" s="7" t="inlineStr">
        <is>
          <t>Under Review:</t>
        </is>
      </c>
      <c r="B6" s="3">
        <f>COUNTIF('Document Master List'!I:I,"Under Review")</f>
        <v/>
      </c>
    </row>
    <row r="7">
      <c r="A7" s="7" t="inlineStr">
        <is>
          <t>Draft:</t>
        </is>
      </c>
      <c r="B7" s="3">
        <f>COUNTIF('Document Master List'!I:I,"Draft")</f>
        <v/>
      </c>
    </row>
    <row r="8">
      <c r="A8" s="7" t="inlineStr">
        <is>
          <t>Expiring Soon (30 days):</t>
        </is>
      </c>
      <c r="B8" s="3">
        <f>COUNTIFS('Document Master List'!S:S,"&lt;30",'Document Master List'!S:S,"&gt;0")</f>
        <v/>
      </c>
    </row>
    <row r="9">
      <c r="A9" s="7" t="inlineStr">
        <is>
          <t>Expired:</t>
        </is>
      </c>
      <c r="B9" s="3">
        <f>COUNTIF('Document Master List'!S:S,"&lt;0")</f>
        <v/>
      </c>
    </row>
    <row r="10">
      <c r="A10" s="7" t="inlineStr">
        <is>
          <t>Overdue Reviews:</t>
        </is>
      </c>
      <c r="B10" s="3">
        <f>COUNTIFS('Document Master List'!J:J,"&lt;"&amp;TODAY(),'Document Master List'!I:I,"Approved")</f>
        <v/>
      </c>
    </row>
    <row r="12">
      <c r="A12" s="6" t="inlineStr">
        <is>
          <t>STATUS DISTRIBUTION</t>
        </is>
      </c>
    </row>
    <row r="13">
      <c r="A13" s="8" t="inlineStr">
        <is>
          <t>Status</t>
        </is>
      </c>
      <c r="B13" s="8" t="inlineStr">
        <is>
          <t>Count</t>
        </is>
      </c>
    </row>
    <row r="14">
      <c r="A14" s="4" t="inlineStr">
        <is>
          <t>Draft</t>
        </is>
      </c>
      <c r="B14" s="4">
        <f>COUNTIF('Document Master List'!I:I,A14)</f>
        <v/>
      </c>
    </row>
    <row r="15">
      <c r="A15" s="4" t="inlineStr">
        <is>
          <t>Under Review</t>
        </is>
      </c>
      <c r="B15" s="4">
        <f>COUNTIF('Document Master List'!I:I,A15)</f>
        <v/>
      </c>
    </row>
    <row r="16">
      <c r="A16" s="4" t="inlineStr">
        <is>
          <t>Approved</t>
        </is>
      </c>
      <c r="B16" s="4">
        <f>COUNTIF('Document Master List'!I:I,A16)</f>
        <v/>
      </c>
    </row>
    <row r="17">
      <c r="A17" s="4" t="inlineStr">
        <is>
          <t>Archived</t>
        </is>
      </c>
      <c r="B17" s="4">
        <f>COUNTIF('Document Master List'!I:I,A17)</f>
        <v/>
      </c>
    </row>
    <row r="18">
      <c r="A18" s="4" t="inlineStr">
        <is>
          <t>Obsolete</t>
        </is>
      </c>
      <c r="B18" s="4">
        <f>COUNTIF('Document Master List'!I:I,A18)</f>
        <v/>
      </c>
    </row>
    <row r="21">
      <c r="A21" s="6" t="inlineStr">
        <is>
          <t>DOCUMENTS BY DEPARTMENT</t>
        </is>
      </c>
    </row>
    <row r="22">
      <c r="A22" s="8" t="inlineStr">
        <is>
          <t>Department</t>
        </is>
      </c>
      <c r="B22" s="8" t="inlineStr">
        <is>
          <t>Count</t>
        </is>
      </c>
    </row>
    <row r="23">
      <c r="A23" s="4" t="inlineStr">
        <is>
          <t>IT</t>
        </is>
      </c>
      <c r="B23" s="4">
        <f>COUNTIF('Document Master List'!E:E,A23)</f>
        <v/>
      </c>
    </row>
    <row r="24">
      <c r="A24" s="4" t="inlineStr">
        <is>
          <t>HR</t>
        </is>
      </c>
      <c r="B24" s="4">
        <f>COUNTIF('Document Master List'!E:E,A24)</f>
        <v/>
      </c>
    </row>
    <row r="25">
      <c r="A25" s="4" t="inlineStr">
        <is>
          <t>Management</t>
        </is>
      </c>
      <c r="B25" s="4">
        <f>COUNTIF('Document Master List'!E:E,A25)</f>
        <v/>
      </c>
    </row>
    <row r="26">
      <c r="A26" s="4" t="inlineStr">
        <is>
          <t>Finance</t>
        </is>
      </c>
      <c r="B26" s="4">
        <f>COUNTIF('Document Master List'!E:E,A26)</f>
        <v/>
      </c>
    </row>
    <row r="27">
      <c r="A27" s="4" t="inlineStr">
        <is>
          <t>Legal</t>
        </is>
      </c>
      <c r="B27" s="4">
        <f>COUNTIF('Document Master List'!E:E,A27)</f>
        <v/>
      </c>
    </row>
    <row r="28">
      <c r="A28" s="4" t="inlineStr">
        <is>
          <t>Operations</t>
        </is>
      </c>
      <c r="B28" s="4">
        <f>COUNTIF('Document Master List'!E:E,A28)</f>
        <v/>
      </c>
    </row>
    <row r="31">
      <c r="A31" s="6" t="inlineStr">
        <is>
          <t>DOCUMENT TYPES</t>
        </is>
      </c>
    </row>
    <row r="32">
      <c r="A32" s="8" t="inlineStr">
        <is>
          <t>Type</t>
        </is>
      </c>
      <c r="B32" s="8" t="inlineStr">
        <is>
          <t>Count</t>
        </is>
      </c>
    </row>
    <row r="33">
      <c r="A33" s="4" t="inlineStr">
        <is>
          <t>Contract</t>
        </is>
      </c>
      <c r="B33" s="4">
        <f>COUNTIF('Document Master List'!C:C,A33)</f>
        <v/>
      </c>
    </row>
    <row r="34">
      <c r="A34" s="4" t="inlineStr">
        <is>
          <t>Policy</t>
        </is>
      </c>
      <c r="B34" s="4">
        <f>COUNTIF('Document Master List'!C:C,A34)</f>
        <v/>
      </c>
    </row>
    <row r="35">
      <c r="A35" s="4" t="inlineStr">
        <is>
          <t>Procedure</t>
        </is>
      </c>
      <c r="B35" s="4">
        <f>COUNTIF('Document Master List'!C:C,A35)</f>
        <v/>
      </c>
    </row>
    <row r="36">
      <c r="A36" s="4" t="inlineStr">
        <is>
          <t>Form</t>
        </is>
      </c>
      <c r="B36" s="4">
        <f>COUNTIF('Document Master List'!C:C,A36)</f>
        <v/>
      </c>
    </row>
    <row r="37">
      <c r="A37" s="4" t="inlineStr">
        <is>
          <t>Report</t>
        </is>
      </c>
      <c r="B37" s="4">
        <f>COUNTIF('Document Master List'!C:C,A37)</f>
        <v/>
      </c>
    </row>
    <row r="38">
      <c r="A38" s="4" t="inlineStr">
        <is>
          <t>Technical</t>
        </is>
      </c>
      <c r="B38" s="4">
        <f>COUNTIF('Document Master List'!C:C,A38)</f>
        <v/>
      </c>
    </row>
  </sheetData>
  <mergeCells count="5">
    <mergeCell ref="A31:D31"/>
    <mergeCell ref="A12:D12"/>
    <mergeCell ref="A3:D3"/>
    <mergeCell ref="A21:D2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5" customHeight="1">
      <c r="A1" s="5" t="inlineStr">
        <is>
          <t>DOCUMENT REVIEW SCHEDULE 2026</t>
        </is>
      </c>
    </row>
    <row r="3">
      <c r="A3" s="1" t="inlineStr">
        <is>
          <t>Doc Number</t>
        </is>
      </c>
      <c r="B3" s="1" t="inlineStr">
        <is>
          <t>Document Title</t>
        </is>
      </c>
      <c r="C3" s="1" t="inlineStr">
        <is>
          <t>Jan</t>
        </is>
      </c>
      <c r="D3" s="1" t="inlineStr">
        <is>
          <t>Feb</t>
        </is>
      </c>
      <c r="E3" s="1" t="inlineStr">
        <is>
          <t>Mar</t>
        </is>
      </c>
      <c r="F3" s="1" t="inlineStr">
        <is>
          <t>Apr</t>
        </is>
      </c>
      <c r="G3" s="1" t="inlineStr">
        <is>
          <t>May</t>
        </is>
      </c>
      <c r="H3" s="1" t="inlineStr">
        <is>
          <t>Jun</t>
        </is>
      </c>
      <c r="I3" s="1" t="inlineStr">
        <is>
          <t>Jul</t>
        </is>
      </c>
      <c r="J3" s="1" t="inlineStr">
        <is>
          <t>Aug</t>
        </is>
      </c>
      <c r="K3" s="1" t="inlineStr">
        <is>
          <t>Sep</t>
        </is>
      </c>
      <c r="L3" s="1" t="inlineStr">
        <is>
          <t>Oct</t>
        </is>
      </c>
      <c r="M3" s="1" t="inlineStr">
        <is>
          <t>Nov</t>
        </is>
      </c>
      <c r="N3" s="1" t="inlineStr">
        <is>
          <t>Dec</t>
        </is>
      </c>
    </row>
    <row r="4">
      <c r="A4" s="4" t="inlineStr">
        <is>
          <t>DOC-POL-001</t>
        </is>
      </c>
      <c r="B4" s="4" t="inlineStr">
        <is>
          <t>Information Security Policy</t>
        </is>
      </c>
      <c r="C4" s="9" t="inlineStr">
        <is>
          <t>█████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inlineStr">
        <is>
          <t>DOC-SOP-001</t>
        </is>
      </c>
      <c r="B5" s="4" t="inlineStr">
        <is>
          <t>Visitor Registration Procedure</t>
        </is>
      </c>
      <c r="C5" s="3" t="n"/>
      <c r="D5" s="3" t="n"/>
      <c r="E5" s="10" t="inlineStr">
        <is>
          <t>█████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4" t="inlineStr">
        <is>
          <t>DOC-CON-001</t>
        </is>
      </c>
      <c r="B6" s="4" t="inlineStr">
        <is>
          <t>IT Services Contract - Microsoft</t>
        </is>
      </c>
      <c r="C6" s="3" t="n"/>
      <c r="D6" s="3" t="n"/>
      <c r="E6" s="3" t="n"/>
      <c r="F6" s="3" t="n"/>
      <c r="G6" s="3" t="n"/>
      <c r="H6" s="10" t="inlineStr">
        <is>
          <t>█████</t>
        </is>
      </c>
      <c r="I6" s="3" t="n"/>
      <c r="J6" s="3" t="n"/>
      <c r="K6" s="3" t="n"/>
      <c r="L6" s="3" t="n"/>
      <c r="M6" s="3" t="n"/>
      <c r="N6" s="3" t="n"/>
    </row>
    <row r="7">
      <c r="A7" s="4" t="inlineStr">
        <is>
          <t>DOC-FRM-001</t>
        </is>
      </c>
      <c r="B7" s="4" t="inlineStr">
        <is>
          <t>Leave Application Form</t>
        </is>
      </c>
      <c r="C7" s="9" t="inlineStr">
        <is>
          <t>█████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4" t="inlineStr">
        <is>
          <t>DOC-RPT-001</t>
        </is>
      </c>
      <c r="B8" s="4" t="inlineStr">
        <is>
          <t>Q4 2025 Financial Report</t>
        </is>
      </c>
      <c r="C8" s="3" t="n"/>
      <c r="D8" s="11" t="inlineStr">
        <is>
          <t>█████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4" t="inlineStr">
        <is>
          <t>DOC-TEC-001</t>
        </is>
      </c>
      <c r="B9" s="4" t="inlineStr">
        <is>
          <t>Network Architecture Document</t>
        </is>
      </c>
      <c r="C9" s="3" t="n"/>
      <c r="D9" s="3" t="n"/>
      <c r="E9" s="3" t="n"/>
      <c r="F9" s="3" t="n"/>
      <c r="G9" s="3" t="n"/>
      <c r="H9" s="10" t="inlineStr">
        <is>
          <t>█████</t>
        </is>
      </c>
      <c r="I9" s="3" t="n"/>
      <c r="J9" s="3" t="n"/>
      <c r="K9" s="3" t="n"/>
      <c r="L9" s="3" t="n"/>
      <c r="M9" s="3" t="n"/>
      <c r="N9" s="3" t="n"/>
    </row>
    <row r="10">
      <c r="A10" s="4" t="inlineStr">
        <is>
          <t>DOC-POL-002</t>
        </is>
      </c>
      <c r="B10" s="4" t="inlineStr">
        <is>
          <t>Data Privacy Policy</t>
        </is>
      </c>
      <c r="C10" s="3" t="n"/>
      <c r="D10" s="3" t="n"/>
      <c r="E10" s="3" t="n"/>
      <c r="F10" s="3" t="n"/>
      <c r="G10" s="10" t="inlineStr">
        <is>
          <t>█████</t>
        </is>
      </c>
      <c r="H10" s="3" t="n"/>
      <c r="I10" s="3" t="n"/>
      <c r="J10" s="3" t="n"/>
      <c r="K10" s="3" t="n"/>
      <c r="L10" s="3" t="n"/>
      <c r="M10" s="3" t="n"/>
      <c r="N10" s="3" t="n"/>
    </row>
    <row r="11">
      <c r="A11" s="4" t="inlineStr">
        <is>
          <t>DOC-SOP-002</t>
        </is>
      </c>
      <c r="B11" s="4" t="inlineStr">
        <is>
          <t>Document Control Procedure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10" t="inlineStr">
        <is>
          <t>█████</t>
        </is>
      </c>
      <c r="L11" s="3" t="n"/>
      <c r="M11" s="3" t="n"/>
      <c r="N11" s="3" t="n"/>
    </row>
    <row r="12">
      <c r="A12" s="4" t="inlineStr">
        <is>
          <t>DOC-CON-002</t>
        </is>
      </c>
      <c r="B12" s="4" t="inlineStr">
        <is>
          <t>Office Lease Agreement</t>
        </is>
      </c>
      <c r="C12" s="9" t="inlineStr">
        <is>
          <t>█████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4" t="inlineStr">
        <is>
          <t>DOC-FRM-002</t>
        </is>
      </c>
      <c r="B13" s="4" t="inlineStr">
        <is>
          <t>Expense Claim Form</t>
        </is>
      </c>
      <c r="C13" s="3" t="n"/>
      <c r="D13" s="11" t="inlineStr">
        <is>
          <t>█████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4" t="inlineStr">
        <is>
          <t>DOC-TEC-002</t>
        </is>
      </c>
      <c r="B14" s="4" t="inlineStr">
        <is>
          <t>API Documentation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10" t="inlineStr">
        <is>
          <t>█████</t>
        </is>
      </c>
      <c r="N14" s="3" t="n"/>
    </row>
    <row r="15">
      <c r="A15" s="4" t="inlineStr">
        <is>
          <t>DOC-SOP-003</t>
        </is>
      </c>
      <c r="B15" s="4" t="inlineStr">
        <is>
          <t>Emergency Evacuation Procedure</t>
        </is>
      </c>
      <c r="C15" s="3" t="n"/>
      <c r="D15" s="3" t="n"/>
      <c r="E15" s="10" t="inlineStr">
        <is>
          <t>█████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4" t="inlineStr">
        <is>
          <t>DOC-CON-003</t>
        </is>
      </c>
      <c r="B16" s="4" t="inlineStr">
        <is>
          <t>Cleaning Services Contract</t>
        </is>
      </c>
      <c r="C16" s="3" t="n"/>
      <c r="D16" s="3" t="n"/>
      <c r="E16" s="3" t="n"/>
      <c r="F16" s="3" t="n"/>
      <c r="G16" s="3" t="n"/>
      <c r="H16" s="3" t="n"/>
      <c r="I16" s="10" t="inlineStr">
        <is>
          <t>█████</t>
        </is>
      </c>
      <c r="J16" s="3" t="n"/>
      <c r="K16" s="3" t="n"/>
      <c r="L16" s="3" t="n"/>
      <c r="M16" s="3" t="n"/>
      <c r="N16" s="3" t="n"/>
    </row>
    <row r="18">
      <c r="A18" s="12" t="inlineStr">
        <is>
          <t>Legend:</t>
        </is>
      </c>
      <c r="B18" s="13" t="inlineStr">
        <is>
          <t>Past Due</t>
        </is>
      </c>
      <c r="C18" s="14" t="inlineStr">
        <is>
          <t>Current Month</t>
        </is>
      </c>
      <c r="D18" s="15" t="inlineStr">
        <is>
          <t>Upcoming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16" customWidth="1" min="5" max="5"/>
    <col width="35" customWidth="1" min="6" max="6"/>
    <col width="14" customWidth="1" min="7" max="7"/>
    <col width="14" customWidth="1" min="8" max="8"/>
    <col width="12" customWidth="1" min="9" max="9"/>
  </cols>
  <sheetData>
    <row r="1" ht="35" customHeight="1">
      <c r="A1" s="5" t="inlineStr">
        <is>
          <t>DOCUMENT VERSION CONTROL LOG</t>
        </is>
      </c>
    </row>
    <row r="3">
      <c r="A3" s="1" t="inlineStr">
        <is>
          <t>Document Number</t>
        </is>
      </c>
      <c r="B3" s="1" t="inlineStr">
        <is>
          <t>Document Title</t>
        </is>
      </c>
      <c r="C3" s="1" t="inlineStr">
        <is>
          <t>Version</t>
        </is>
      </c>
      <c r="D3" s="1" t="inlineStr">
        <is>
          <t>Date</t>
        </is>
      </c>
      <c r="E3" s="1" t="inlineStr">
        <is>
          <t>Author</t>
        </is>
      </c>
      <c r="F3" s="1" t="inlineStr">
        <is>
          <t>Changes Made</t>
        </is>
      </c>
      <c r="G3" s="1" t="inlineStr">
        <is>
          <t>Reviewed By</t>
        </is>
      </c>
      <c r="H3" s="1" t="inlineStr">
        <is>
          <t>Approved By</t>
        </is>
      </c>
      <c r="I3" s="1" t="inlineStr">
        <is>
          <t>Status</t>
        </is>
      </c>
    </row>
    <row r="4">
      <c r="A4" s="2" t="inlineStr">
        <is>
          <t>DOC-POL-001</t>
        </is>
      </c>
      <c r="B4" s="2" t="inlineStr">
        <is>
          <t>Information Security Policy</t>
        </is>
      </c>
      <c r="C4" s="3" t="inlineStr">
        <is>
          <t>v1.0</t>
        </is>
      </c>
      <c r="D4" s="3" t="inlineStr">
        <is>
          <t>2024-01-15</t>
        </is>
      </c>
      <c r="E4" s="2" t="inlineStr">
        <is>
          <t>Ahmed Al-Thani</t>
        </is>
      </c>
      <c r="F4" s="2" t="inlineStr">
        <is>
          <t>Initial document creation</t>
        </is>
      </c>
      <c r="G4" s="2" t="inlineStr">
        <is>
          <t>Sara Ibrahim</t>
        </is>
      </c>
      <c r="H4" s="2" t="inlineStr">
        <is>
          <t>CEO</t>
        </is>
      </c>
      <c r="I4" s="3" t="inlineStr">
        <is>
          <t>Approved</t>
        </is>
      </c>
    </row>
    <row r="5">
      <c r="A5" s="2" t="inlineStr">
        <is>
          <t>DOC-POL-001</t>
        </is>
      </c>
      <c r="B5" s="2" t="inlineStr">
        <is>
          <t>Information Security Policy</t>
        </is>
      </c>
      <c r="C5" s="3" t="inlineStr">
        <is>
          <t>v1.5</t>
        </is>
      </c>
      <c r="D5" s="3" t="inlineStr">
        <is>
          <t>2024-06-20</t>
        </is>
      </c>
      <c r="E5" s="2" t="inlineStr">
        <is>
          <t>Ahmed Al-Thani</t>
        </is>
      </c>
      <c r="F5" s="2" t="inlineStr">
        <is>
          <t>Added cloud security section</t>
        </is>
      </c>
      <c r="G5" s="2" t="inlineStr">
        <is>
          <t>Sara Ibrahim</t>
        </is>
      </c>
      <c r="H5" s="2" t="inlineStr">
        <is>
          <t>CEO</t>
        </is>
      </c>
      <c r="I5" s="3" t="inlineStr">
        <is>
          <t>Approved</t>
        </is>
      </c>
    </row>
    <row r="6">
      <c r="A6" s="2" t="inlineStr">
        <is>
          <t>DOC-POL-001</t>
        </is>
      </c>
      <c r="B6" s="2" t="inlineStr">
        <is>
          <t>Information Security Policy</t>
        </is>
      </c>
      <c r="C6" s="3" t="inlineStr">
        <is>
          <t>v2.0</t>
        </is>
      </c>
      <c r="D6" s="3" t="inlineStr">
        <is>
          <t>2024-12-01</t>
        </is>
      </c>
      <c r="E6" s="2" t="inlineStr">
        <is>
          <t>Ahmed Al-Thani</t>
        </is>
      </c>
      <c r="F6" s="2" t="inlineStr">
        <is>
          <t>Major revision - GDPR compliance</t>
        </is>
      </c>
      <c r="G6" s="2" t="inlineStr">
        <is>
          <t>Sara Ibrahim</t>
        </is>
      </c>
      <c r="H6" s="2" t="inlineStr">
        <is>
          <t>CEO</t>
        </is>
      </c>
      <c r="I6" s="3" t="inlineStr">
        <is>
          <t>Approved</t>
        </is>
      </c>
    </row>
    <row r="7">
      <c r="A7" s="2" t="inlineStr">
        <is>
          <t>DOC-POL-001</t>
        </is>
      </c>
      <c r="B7" s="2" t="inlineStr">
        <is>
          <t>Information Security Policy</t>
        </is>
      </c>
      <c r="C7" s="3" t="inlineStr">
        <is>
          <t>v2.1</t>
        </is>
      </c>
      <c r="D7" s="3" t="inlineStr">
        <is>
          <t>2025-01-15</t>
        </is>
      </c>
      <c r="E7" s="2" t="inlineStr">
        <is>
          <t>Ahmed Al-Thani</t>
        </is>
      </c>
      <c r="F7" s="2" t="inlineStr">
        <is>
          <t>Minor updates to access controls</t>
        </is>
      </c>
      <c r="G7" s="2" t="inlineStr">
        <is>
          <t>Sara Ibrahim</t>
        </is>
      </c>
      <c r="H7" s="2" t="inlineStr">
        <is>
          <t>CEO</t>
        </is>
      </c>
      <c r="I7" s="3" t="inlineStr">
        <is>
          <t>Approved</t>
        </is>
      </c>
    </row>
    <row r="8">
      <c r="A8" s="2" t="inlineStr">
        <is>
          <t>DOC-SOP-001</t>
        </is>
      </c>
      <c r="B8" s="2" t="inlineStr">
        <is>
          <t>Visitor Registration Procedure</t>
        </is>
      </c>
      <c r="C8" s="3" t="inlineStr">
        <is>
          <t>v1.0</t>
        </is>
      </c>
      <c r="D8" s="3" t="inlineStr">
        <is>
          <t>2024-06-01</t>
        </is>
      </c>
      <c r="E8" s="2" t="inlineStr">
        <is>
          <t>Fatima Hassan</t>
        </is>
      </c>
      <c r="F8" s="2" t="inlineStr">
        <is>
          <t>Initial procedure document</t>
        </is>
      </c>
      <c r="G8" s="2" t="inlineStr">
        <is>
          <t>HR Manager</t>
        </is>
      </c>
      <c r="H8" s="2" t="inlineStr">
        <is>
          <t>COO</t>
        </is>
      </c>
      <c r="I8" s="3" t="inlineStr">
        <is>
          <t>Approved</t>
        </is>
      </c>
    </row>
    <row r="9">
      <c r="A9" s="2" t="inlineStr">
        <is>
          <t>DOC-SOP-001</t>
        </is>
      </c>
      <c r="B9" s="2" t="inlineStr">
        <is>
          <t>Visitor Registration Procedure</t>
        </is>
      </c>
      <c r="C9" s="3" t="inlineStr">
        <is>
          <t>v1.1</t>
        </is>
      </c>
      <c r="D9" s="3" t="inlineStr">
        <is>
          <t>2024-09-15</t>
        </is>
      </c>
      <c r="E9" s="2" t="inlineStr">
        <is>
          <t>Fatima Hassan</t>
        </is>
      </c>
      <c r="F9" s="2" t="inlineStr">
        <is>
          <t>Added digital check-in process</t>
        </is>
      </c>
      <c r="G9" s="2" t="inlineStr">
        <is>
          <t>HR Manager</t>
        </is>
      </c>
      <c r="H9" s="2" t="inlineStr">
        <is>
          <t>COO</t>
        </is>
      </c>
      <c r="I9" s="3" t="inlineStr">
        <is>
          <t>Approved</t>
        </is>
      </c>
    </row>
    <row r="10">
      <c r="A10" s="2" t="inlineStr">
        <is>
          <t>DOC-SOP-001</t>
        </is>
      </c>
      <c r="B10" s="2" t="inlineStr">
        <is>
          <t>Visitor Registration Procedure</t>
        </is>
      </c>
      <c r="C10" s="3" t="inlineStr">
        <is>
          <t>v1.2</t>
        </is>
      </c>
      <c r="D10" s="3" t="inlineStr">
        <is>
          <t>2025-01-10</t>
        </is>
      </c>
      <c r="E10" s="2" t="inlineStr">
        <is>
          <t>Fatima Hassan</t>
        </is>
      </c>
      <c r="F10" s="2" t="inlineStr">
        <is>
          <t>Updated badge system integration</t>
        </is>
      </c>
      <c r="G10" s="2" t="inlineStr">
        <is>
          <t>HR Manager</t>
        </is>
      </c>
      <c r="H10" s="2" t="inlineStr">
        <is>
          <t>COO</t>
        </is>
      </c>
      <c r="I10" s="3" t="inlineStr">
        <is>
          <t>Approved</t>
        </is>
      </c>
    </row>
    <row r="11">
      <c r="A11" s="2" t="inlineStr">
        <is>
          <t>DOC-SOP-001</t>
        </is>
      </c>
      <c r="B11" s="2" t="inlineStr">
        <is>
          <t>Visitor Registration Procedure</t>
        </is>
      </c>
      <c r="C11" s="3" t="inlineStr">
        <is>
          <t>v1.3</t>
        </is>
      </c>
      <c r="D11" s="3" t="inlineStr">
        <is>
          <t>2025-03-01</t>
        </is>
      </c>
      <c r="E11" s="2" t="inlineStr">
        <is>
          <t>Fatima Hassan</t>
        </is>
      </c>
      <c r="F11" s="2" t="inlineStr">
        <is>
          <t>Added VIP visitor handling</t>
        </is>
      </c>
      <c r="G11" s="2" t="inlineStr">
        <is>
          <t>HR Manager</t>
        </is>
      </c>
      <c r="H11" s="2" t="inlineStr">
        <is>
          <t>COO</t>
        </is>
      </c>
      <c r="I11" s="3" t="inlineStr">
        <is>
          <t>Approved</t>
        </is>
      </c>
    </row>
    <row r="12">
      <c r="A12" s="2" t="inlineStr">
        <is>
          <t>DOC-TEC-001</t>
        </is>
      </c>
      <c r="B12" s="2" t="inlineStr">
        <is>
          <t>Network Architecture Document</t>
        </is>
      </c>
      <c r="C12" s="3" t="inlineStr">
        <is>
          <t>v1.0</t>
        </is>
      </c>
      <c r="D12" s="3" t="inlineStr">
        <is>
          <t>2021-06-01</t>
        </is>
      </c>
      <c r="E12" s="2" t="inlineStr">
        <is>
          <t>IT Infrastructure</t>
        </is>
      </c>
      <c r="F12" s="2" t="inlineStr">
        <is>
          <t>Initial network design</t>
        </is>
      </c>
      <c r="G12" s="2" t="inlineStr">
        <is>
          <t>IT Director</t>
        </is>
      </c>
      <c r="H12" s="2" t="inlineStr">
        <is>
          <t>CTO</t>
        </is>
      </c>
      <c r="I12" s="3" t="inlineStr">
        <is>
          <t>Approved</t>
        </is>
      </c>
    </row>
    <row r="13">
      <c r="A13" s="2" t="inlineStr">
        <is>
          <t>DOC-TEC-001</t>
        </is>
      </c>
      <c r="B13" s="2" t="inlineStr">
        <is>
          <t>Network Architecture Document</t>
        </is>
      </c>
      <c r="C13" s="3" t="inlineStr">
        <is>
          <t>v2.0</t>
        </is>
      </c>
      <c r="D13" s="3" t="inlineStr">
        <is>
          <t>2022-03-15</t>
        </is>
      </c>
      <c r="E13" s="2" t="inlineStr">
        <is>
          <t>IT Infrastructure</t>
        </is>
      </c>
      <c r="F13" s="2" t="inlineStr">
        <is>
          <t>Cloud migration architecture</t>
        </is>
      </c>
      <c r="G13" s="2" t="inlineStr">
        <is>
          <t>IT Director</t>
        </is>
      </c>
      <c r="H13" s="2" t="inlineStr">
        <is>
          <t>CTO</t>
        </is>
      </c>
      <c r="I13" s="3" t="inlineStr">
        <is>
          <t>Approved</t>
        </is>
      </c>
    </row>
    <row r="14">
      <c r="A14" s="2" t="inlineStr">
        <is>
          <t>DOC-TEC-001</t>
        </is>
      </c>
      <c r="B14" s="2" t="inlineStr">
        <is>
          <t>Network Architecture Document</t>
        </is>
      </c>
      <c r="C14" s="3" t="inlineStr">
        <is>
          <t>v3.0</t>
        </is>
      </c>
      <c r="D14" s="3" t="inlineStr">
        <is>
          <t>2023-01-20</t>
        </is>
      </c>
      <c r="E14" s="2" t="inlineStr">
        <is>
          <t>IT Infrastructure</t>
        </is>
      </c>
      <c r="F14" s="2" t="inlineStr">
        <is>
          <t>Hybrid cloud implementation</t>
        </is>
      </c>
      <c r="G14" s="2" t="inlineStr">
        <is>
          <t>IT Director</t>
        </is>
      </c>
      <c r="H14" s="2" t="inlineStr">
        <is>
          <t>CTO</t>
        </is>
      </c>
      <c r="I14" s="3" t="inlineStr">
        <is>
          <t>Approved</t>
        </is>
      </c>
    </row>
    <row r="15">
      <c r="A15" s="2" t="inlineStr">
        <is>
          <t>DOC-TEC-001</t>
        </is>
      </c>
      <c r="B15" s="2" t="inlineStr">
        <is>
          <t>Network Architecture Document</t>
        </is>
      </c>
      <c r="C15" s="3" t="inlineStr">
        <is>
          <t>v4.0</t>
        </is>
      </c>
      <c r="D15" s="3" t="inlineStr">
        <is>
          <t>2023-06-01</t>
        </is>
      </c>
      <c r="E15" s="2" t="inlineStr">
        <is>
          <t>IT Infrastructure</t>
        </is>
      </c>
      <c r="F15" s="2" t="inlineStr">
        <is>
          <t>Security enhancements</t>
        </is>
      </c>
      <c r="G15" s="2" t="inlineStr">
        <is>
          <t>IT Director</t>
        </is>
      </c>
      <c r="H15" s="2" t="inlineStr">
        <is>
          <t>CTO</t>
        </is>
      </c>
      <c r="I15" s="3" t="inlineStr">
        <is>
          <t>Approved</t>
        </is>
      </c>
    </row>
    <row r="16">
      <c r="A16" s="2" t="inlineStr">
        <is>
          <t>DOC-TEC-001</t>
        </is>
      </c>
      <c r="B16" s="2" t="inlineStr">
        <is>
          <t>Network Architecture Document</t>
        </is>
      </c>
      <c r="C16" s="3" t="inlineStr">
        <is>
          <t>v4.1</t>
        </is>
      </c>
      <c r="D16" s="3" t="inlineStr">
        <is>
          <t>2024-02-10</t>
        </is>
      </c>
      <c r="E16" s="2" t="inlineStr">
        <is>
          <t>IT Infrastructure</t>
        </is>
      </c>
      <c r="F16" s="2" t="inlineStr">
        <is>
          <t>Added disaster recovery</t>
        </is>
      </c>
      <c r="G16" s="2" t="inlineStr">
        <is>
          <t>IT Director</t>
        </is>
      </c>
      <c r="H16" s="2" t="inlineStr">
        <is>
          <t>CTO</t>
        </is>
      </c>
      <c r="I16" s="3" t="inlineStr">
        <is>
          <t>Approved</t>
        </is>
      </c>
    </row>
    <row r="17">
      <c r="A17" s="2" t="inlineStr">
        <is>
          <t>DOC-TEC-001</t>
        </is>
      </c>
      <c r="B17" s="2" t="inlineStr">
        <is>
          <t>Network Architecture Document</t>
        </is>
      </c>
      <c r="C17" s="3" t="inlineStr">
        <is>
          <t>v4.2</t>
        </is>
      </c>
      <c r="D17" s="3" t="inlineStr">
        <is>
          <t>2024-08-15</t>
        </is>
      </c>
      <c r="E17" s="2" t="inlineStr">
        <is>
          <t>IT Infrastructure</t>
        </is>
      </c>
      <c r="F17" s="2" t="inlineStr">
        <is>
          <t>Updated firewall rules</t>
        </is>
      </c>
      <c r="G17" s="2" t="inlineStr">
        <is>
          <t>IT Director</t>
        </is>
      </c>
      <c r="H17" s="2" t="inlineStr">
        <is>
          <t>CTO</t>
        </is>
      </c>
      <c r="I17" s="3" t="inlineStr">
        <is>
          <t>Approved</t>
        </is>
      </c>
    </row>
    <row r="18">
      <c r="A18" s="2" t="inlineStr">
        <is>
          <t>DOC-FRM-001</t>
        </is>
      </c>
      <c r="B18" s="2" t="inlineStr">
        <is>
          <t>Leave Application Form</t>
        </is>
      </c>
      <c r="C18" s="3" t="inlineStr">
        <is>
          <t>v1.0</t>
        </is>
      </c>
      <c r="D18" s="3" t="inlineStr">
        <is>
          <t>2022-01-01</t>
        </is>
      </c>
      <c r="E18" s="2" t="inlineStr">
        <is>
          <t>HR Team</t>
        </is>
      </c>
      <c r="F18" s="2" t="inlineStr">
        <is>
          <t>Initial form creation</t>
        </is>
      </c>
      <c r="G18" s="2" t="inlineStr">
        <is>
          <t>HR Manager</t>
        </is>
      </c>
      <c r="H18" s="2" t="inlineStr">
        <is>
          <t>HR Director</t>
        </is>
      </c>
      <c r="I18" s="3" t="inlineStr">
        <is>
          <t>Approved</t>
        </is>
      </c>
    </row>
    <row r="19">
      <c r="A19" s="2" t="inlineStr">
        <is>
          <t>DOC-FRM-001</t>
        </is>
      </c>
      <c r="B19" s="2" t="inlineStr">
        <is>
          <t>Leave Application Form</t>
        </is>
      </c>
      <c r="C19" s="3" t="inlineStr">
        <is>
          <t>v2.0</t>
        </is>
      </c>
      <c r="D19" s="3" t="inlineStr">
        <is>
          <t>2023-06-01</t>
        </is>
      </c>
      <c r="E19" s="2" t="inlineStr">
        <is>
          <t>HR Team</t>
        </is>
      </c>
      <c r="F19" s="2" t="inlineStr">
        <is>
          <t>Added digital signature</t>
        </is>
      </c>
      <c r="G19" s="2" t="inlineStr">
        <is>
          <t>HR Manager</t>
        </is>
      </c>
      <c r="H19" s="2" t="inlineStr">
        <is>
          <t>HR Director</t>
        </is>
      </c>
      <c r="I19" s="3" t="inlineStr">
        <is>
          <t>Approved</t>
        </is>
      </c>
    </row>
    <row r="20">
      <c r="A20" s="2" t="inlineStr">
        <is>
          <t>DOC-FRM-001</t>
        </is>
      </c>
      <c r="B20" s="2" t="inlineStr">
        <is>
          <t>Leave Application Form</t>
        </is>
      </c>
      <c r="C20" s="3" t="inlineStr">
        <is>
          <t>v3.0</t>
        </is>
      </c>
      <c r="D20" s="3" t="inlineStr">
        <is>
          <t>2024-01-01</t>
        </is>
      </c>
      <c r="E20" s="2" t="inlineStr">
        <is>
          <t>HR Team</t>
        </is>
      </c>
      <c r="F20" s="2" t="inlineStr">
        <is>
          <t>New approval workflow</t>
        </is>
      </c>
      <c r="G20" s="2" t="inlineStr">
        <is>
          <t>HR Manager</t>
        </is>
      </c>
      <c r="H20" s="2" t="inlineStr">
        <is>
          <t>HR Director</t>
        </is>
      </c>
      <c r="I20" s="3" t="inlineStr">
        <is>
          <t>Approved</t>
        </is>
      </c>
    </row>
  </sheetData>
  <mergeCells count="1">
    <mergeCell ref="A1:I1"/>
  </mergeCells>
  <conditionalFormatting sqref="I4:I100">
    <cfRule type="cellIs" priority="1" operator="equal" dxfId="2">
      <formula>"Approved"</formula>
    </cfRule>
    <cfRule type="cellIs" priority="2" operator="equal" dxfId="1">
      <formula>"Under Review"</formula>
    </cfRule>
    <cfRule type="cellIs" priority="3" operator="equal" dxfId="0">
      <formula>"Draft"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2026-02-16T03:34:43Z</dcterms:created>
  <dcterms:modified xmlns:dcterms="http://purl.org/dc/terms/" xmlns:xsi="http://www.w3.org/2001/XMLSchema-instance" xsi:type="dcterms:W3CDTF">2026-02-16T03:35:38Z</dcterms:modified>
</cp:coreProperties>
</file>