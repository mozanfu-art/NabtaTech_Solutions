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ing Correspondence" sheetId="1" state="visible" r:id="rId1"/>
    <sheet xmlns:r="http://schemas.openxmlformats.org/officeDocument/2006/relationships" name="Outgoing Correspondence" sheetId="2" state="visible" r:id="rId2"/>
    <sheet xmlns:r="http://schemas.openxmlformats.org/officeDocument/2006/relationships" name="Response Tim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Correspondence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'Response Time Analysis'!B26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'Response Time Analysis'!$A$27:$A$33</f>
            </numRef>
          </cat>
          <val>
            <numRef>
              <f>'Response Time Analysis'!$B$27:$B$33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8" customWidth="1" min="5" max="5"/>
    <col width="10" customWidth="1" min="6" max="6"/>
    <col width="16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25" customWidth="1" min="14" max="14"/>
  </cols>
  <sheetData>
    <row r="1" ht="35" customHeight="1">
      <c r="A1" s="1" t="inlineStr">
        <is>
          <t>INCOMING CORRESPONDENCE LOG</t>
        </is>
      </c>
    </row>
    <row r="3">
      <c r="A3" s="2" t="inlineStr">
        <is>
          <t>Reference Number</t>
        </is>
      </c>
      <c r="B3" s="2" t="inlineStr">
        <is>
          <t>Date Received</t>
        </is>
      </c>
      <c r="C3" s="2" t="inlineStr">
        <is>
          <t>From (Sender)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Priority</t>
        </is>
      </c>
      <c r="G3" s="2" t="inlineStr">
        <is>
          <t>Assigned To</t>
        </is>
      </c>
      <c r="H3" s="2" t="inlineStr">
        <is>
          <t>Department</t>
        </is>
      </c>
      <c r="I3" s="2" t="inlineStr">
        <is>
          <t>Status</t>
        </is>
      </c>
      <c r="J3" s="2" t="inlineStr">
        <is>
          <t>Action Required</t>
        </is>
      </c>
      <c r="K3" s="2" t="inlineStr">
        <is>
          <t>Due Date</t>
        </is>
      </c>
      <c r="L3" s="2" t="inlineStr">
        <is>
          <t>Date Replied</t>
        </is>
      </c>
      <c r="M3" s="2" t="inlineStr">
        <is>
          <t>Days to Respond</t>
        </is>
      </c>
      <c r="N3" s="2" t="inlineStr">
        <is>
          <t>Notes</t>
        </is>
      </c>
    </row>
    <row r="4">
      <c r="A4" s="3" t="inlineStr">
        <is>
          <t>IN-2026-001</t>
        </is>
      </c>
      <c r="B4" s="4" t="inlineStr">
        <is>
          <t>2026-02-10</t>
        </is>
      </c>
      <c r="C4" s="3" t="inlineStr">
        <is>
          <t>Ministry of Commerce</t>
        </is>
      </c>
      <c r="D4" s="3" t="inlineStr">
        <is>
          <t>License Renewal Notice</t>
        </is>
      </c>
      <c r="E4" s="4" t="inlineStr">
        <is>
          <t>Letter</t>
        </is>
      </c>
      <c r="F4" s="4" t="inlineStr">
        <is>
          <t>High</t>
        </is>
      </c>
      <c r="G4" s="3" t="inlineStr">
        <is>
          <t>Legal Team</t>
        </is>
      </c>
      <c r="H4" s="3" t="inlineStr">
        <is>
          <t>Legal</t>
        </is>
      </c>
      <c r="I4" s="4" t="inlineStr">
        <is>
          <t>Replied</t>
        </is>
      </c>
      <c r="J4" s="4" t="inlineStr">
        <is>
          <t>Yes</t>
        </is>
      </c>
      <c r="K4" s="4" t="inlineStr">
        <is>
          <t>2026-02-17</t>
        </is>
      </c>
      <c r="L4" s="4" t="inlineStr">
        <is>
          <t>2026-02-12</t>
        </is>
      </c>
      <c r="M4" s="4">
        <f>IF(L4="","",L4-B4)</f>
        <v/>
      </c>
      <c r="N4" s="3" t="inlineStr">
        <is>
          <t>Renewal submitted</t>
        </is>
      </c>
    </row>
    <row r="5">
      <c r="A5" s="3" t="inlineStr">
        <is>
          <t>IN-2026-002</t>
        </is>
      </c>
      <c r="B5" s="4" t="inlineStr">
        <is>
          <t>2026-02-10</t>
        </is>
      </c>
      <c r="C5" s="3" t="inlineStr">
        <is>
          <t>Qatar Chamber</t>
        </is>
      </c>
      <c r="D5" s="3" t="inlineStr">
        <is>
          <t>Membership Renewal</t>
        </is>
      </c>
      <c r="E5" s="4" t="inlineStr">
        <is>
          <t>Email</t>
        </is>
      </c>
      <c r="F5" s="4" t="inlineStr">
        <is>
          <t>Medium</t>
        </is>
      </c>
      <c r="G5" s="3" t="inlineStr">
        <is>
          <t>Finance</t>
        </is>
      </c>
      <c r="H5" s="3" t="inlineStr">
        <is>
          <t>Finance</t>
        </is>
      </c>
      <c r="I5" s="4" t="inlineStr">
        <is>
          <t>Replied</t>
        </is>
      </c>
      <c r="J5" s="4" t="inlineStr">
        <is>
          <t>Yes</t>
        </is>
      </c>
      <c r="K5" s="4" t="inlineStr">
        <is>
          <t>2026-02-20</t>
        </is>
      </c>
      <c r="L5" s="4" t="inlineStr">
        <is>
          <t>2026-02-14</t>
        </is>
      </c>
      <c r="M5" s="4">
        <f>IF(L5="","",L5-B5)</f>
        <v/>
      </c>
      <c r="N5" s="3" t="inlineStr">
        <is>
          <t>Payment processed</t>
        </is>
      </c>
    </row>
    <row r="6">
      <c r="A6" s="3" t="inlineStr">
        <is>
          <t>IN-2026-003</t>
        </is>
      </c>
      <c r="B6" s="4" t="inlineStr">
        <is>
          <t>2026-02-11</t>
        </is>
      </c>
      <c r="C6" s="3" t="inlineStr">
        <is>
          <t>Microsoft Qatar</t>
        </is>
      </c>
      <c r="D6" s="3" t="inlineStr">
        <is>
          <t>Contract Amendment</t>
        </is>
      </c>
      <c r="E6" s="4" t="inlineStr">
        <is>
          <t>Email</t>
        </is>
      </c>
      <c r="F6" s="4" t="inlineStr">
        <is>
          <t>High</t>
        </is>
      </c>
      <c r="G6" s="3" t="inlineStr">
        <is>
          <t>IT Director</t>
        </is>
      </c>
      <c r="H6" s="3" t="inlineStr">
        <is>
          <t>IT</t>
        </is>
      </c>
      <c r="I6" s="4" t="inlineStr">
        <is>
          <t>In Progress</t>
        </is>
      </c>
      <c r="J6" s="4" t="inlineStr">
        <is>
          <t>Yes</t>
        </is>
      </c>
      <c r="K6" s="4" t="inlineStr">
        <is>
          <t>2026-02-18</t>
        </is>
      </c>
      <c r="L6" s="4" t="inlineStr"/>
      <c r="M6" s="4">
        <f>IF(L6="","",L6-B6)</f>
        <v/>
      </c>
      <c r="N6" s="3" t="inlineStr">
        <is>
          <t>Under legal review</t>
        </is>
      </c>
    </row>
    <row r="7">
      <c r="A7" s="3" t="inlineStr">
        <is>
          <t>IN-2026-004</t>
        </is>
      </c>
      <c r="B7" s="4" t="inlineStr">
        <is>
          <t>2026-02-11</t>
        </is>
      </c>
      <c r="C7" s="3" t="inlineStr">
        <is>
          <t>Client - ABC Corp</t>
        </is>
      </c>
      <c r="D7" s="3" t="inlineStr">
        <is>
          <t>Project Proposal Request</t>
        </is>
      </c>
      <c r="E7" s="4" t="inlineStr">
        <is>
          <t>Email</t>
        </is>
      </c>
      <c r="F7" s="4" t="inlineStr">
        <is>
          <t>Urgent</t>
        </is>
      </c>
      <c r="G7" s="3" t="inlineStr">
        <is>
          <t>Sales Team</t>
        </is>
      </c>
      <c r="H7" s="3" t="inlineStr">
        <is>
          <t>Sales</t>
        </is>
      </c>
      <c r="I7" s="4" t="inlineStr">
        <is>
          <t>Replied</t>
        </is>
      </c>
      <c r="J7" s="4" t="inlineStr">
        <is>
          <t>Yes</t>
        </is>
      </c>
      <c r="K7" s="4" t="inlineStr">
        <is>
          <t>2026-02-13</t>
        </is>
      </c>
      <c r="L7" s="4" t="inlineStr">
        <is>
          <t>2026-02-12</t>
        </is>
      </c>
      <c r="M7" s="4">
        <f>IF(L7="","",L7-B7)</f>
        <v/>
      </c>
      <c r="N7" s="3" t="inlineStr">
        <is>
          <t>Proposal sent</t>
        </is>
      </c>
    </row>
    <row r="8">
      <c r="A8" s="3" t="inlineStr">
        <is>
          <t>IN-2026-005</t>
        </is>
      </c>
      <c r="B8" s="4" t="inlineStr">
        <is>
          <t>2026-02-12</t>
        </is>
      </c>
      <c r="C8" s="3" t="inlineStr">
        <is>
          <t>HR Solutions Ltd</t>
        </is>
      </c>
      <c r="D8" s="3" t="inlineStr">
        <is>
          <t>Training Quotation</t>
        </is>
      </c>
      <c r="E8" s="4" t="inlineStr">
        <is>
          <t>Email</t>
        </is>
      </c>
      <c r="F8" s="4" t="inlineStr">
        <is>
          <t>Low</t>
        </is>
      </c>
      <c r="G8" s="3" t="inlineStr">
        <is>
          <t>HR Manager</t>
        </is>
      </c>
      <c r="H8" s="3" t="inlineStr">
        <is>
          <t>HR</t>
        </is>
      </c>
      <c r="I8" s="4" t="inlineStr">
        <is>
          <t>Pending</t>
        </is>
      </c>
      <c r="J8" s="4" t="inlineStr">
        <is>
          <t>No</t>
        </is>
      </c>
      <c r="K8" s="4" t="inlineStr">
        <is>
          <t>2026-02-26</t>
        </is>
      </c>
      <c r="L8" s="4" t="inlineStr"/>
      <c r="M8" s="4">
        <f>IF(L8="","",L8-B8)</f>
        <v/>
      </c>
      <c r="N8" s="3" t="inlineStr">
        <is>
          <t>For review</t>
        </is>
      </c>
    </row>
    <row r="9">
      <c r="A9" s="3" t="inlineStr">
        <is>
          <t>IN-2026-006</t>
        </is>
      </c>
      <c r="B9" s="4" t="inlineStr">
        <is>
          <t>2026-02-12</t>
        </is>
      </c>
      <c r="C9" s="3" t="inlineStr">
        <is>
          <t>Qatar Electricity</t>
        </is>
      </c>
      <c r="D9" s="3" t="inlineStr">
        <is>
          <t>Power Upgrade Notice</t>
        </is>
      </c>
      <c r="E9" s="4" t="inlineStr">
        <is>
          <t>Letter</t>
        </is>
      </c>
      <c r="F9" s="4" t="inlineStr">
        <is>
          <t>Medium</t>
        </is>
      </c>
      <c r="G9" s="3" t="inlineStr">
        <is>
          <t>Facilities</t>
        </is>
      </c>
      <c r="H9" s="3" t="inlineStr">
        <is>
          <t>Operations</t>
        </is>
      </c>
      <c r="I9" s="4" t="inlineStr">
        <is>
          <t>Replied</t>
        </is>
      </c>
      <c r="J9" s="4" t="inlineStr">
        <is>
          <t>Yes</t>
        </is>
      </c>
      <c r="K9" s="4" t="inlineStr">
        <is>
          <t>2026-02-19</t>
        </is>
      </c>
      <c r="L9" s="4" t="inlineStr">
        <is>
          <t>2026-02-15</t>
        </is>
      </c>
      <c r="M9" s="4">
        <f>IF(L9="","",L9-B9)</f>
        <v/>
      </c>
      <c r="N9" s="3" t="inlineStr">
        <is>
          <t>Acknowledged</t>
        </is>
      </c>
    </row>
    <row r="10">
      <c r="A10" s="3" t="inlineStr">
        <is>
          <t>IN-2026-007</t>
        </is>
      </c>
      <c r="B10" s="4" t="inlineStr">
        <is>
          <t>2026-02-13</t>
        </is>
      </c>
      <c r="C10" s="3" t="inlineStr">
        <is>
          <t>Bank of Qatar</t>
        </is>
      </c>
      <c r="D10" s="3" t="inlineStr">
        <is>
          <t>Account Statement</t>
        </is>
      </c>
      <c r="E10" s="4" t="inlineStr">
        <is>
          <t>Email</t>
        </is>
      </c>
      <c r="F10" s="4" t="inlineStr">
        <is>
          <t>Low</t>
        </is>
      </c>
      <c r="G10" s="3" t="inlineStr">
        <is>
          <t>Finance</t>
        </is>
      </c>
      <c r="H10" s="3" t="inlineStr">
        <is>
          <t>Finance</t>
        </is>
      </c>
      <c r="I10" s="4" t="inlineStr">
        <is>
          <t>Filed</t>
        </is>
      </c>
      <c r="J10" s="4" t="inlineStr">
        <is>
          <t>No</t>
        </is>
      </c>
      <c r="K10" s="4" t="inlineStr"/>
      <c r="L10" s="4" t="inlineStr"/>
      <c r="M10" s="4">
        <f>IF(L10="","",L10-B10)</f>
        <v/>
      </c>
      <c r="N10" s="3" t="inlineStr">
        <is>
          <t>Monthly statement</t>
        </is>
      </c>
    </row>
    <row r="11">
      <c r="A11" s="3" t="inlineStr">
        <is>
          <t>IN-2026-008</t>
        </is>
      </c>
      <c r="B11" s="4" t="inlineStr">
        <is>
          <t>2026-02-13</t>
        </is>
      </c>
      <c r="C11" s="3" t="inlineStr">
        <is>
          <t>Vendor - Tech Supplies</t>
        </is>
      </c>
      <c r="D11" s="3" t="inlineStr">
        <is>
          <t>Invoice #INV-2026-456</t>
        </is>
      </c>
      <c r="E11" s="4" t="inlineStr">
        <is>
          <t>Email</t>
        </is>
      </c>
      <c r="F11" s="4" t="inlineStr">
        <is>
          <t>Medium</t>
        </is>
      </c>
      <c r="G11" s="3" t="inlineStr">
        <is>
          <t>Finance</t>
        </is>
      </c>
      <c r="H11" s="3" t="inlineStr">
        <is>
          <t>Finance</t>
        </is>
      </c>
      <c r="I11" s="4" t="inlineStr">
        <is>
          <t>In Progress</t>
        </is>
      </c>
      <c r="J11" s="4" t="inlineStr">
        <is>
          <t>Yes</t>
        </is>
      </c>
      <c r="K11" s="4" t="inlineStr">
        <is>
          <t>2026-02-20</t>
        </is>
      </c>
      <c r="L11" s="4" t="inlineStr"/>
      <c r="M11" s="4">
        <f>IF(L11="","",L11-B11)</f>
        <v/>
      </c>
      <c r="N11" s="3" t="inlineStr">
        <is>
          <t>Awaiting approval</t>
        </is>
      </c>
    </row>
    <row r="12">
      <c r="A12" s="3" t="inlineStr">
        <is>
          <t>IN-2026-009</t>
        </is>
      </c>
      <c r="B12" s="4" t="inlineStr">
        <is>
          <t>2026-02-14</t>
        </is>
      </c>
      <c r="C12" s="3" t="inlineStr">
        <is>
          <t>Ministry of Labor</t>
        </is>
      </c>
      <c r="D12" s="3" t="inlineStr">
        <is>
          <t>Compliance Audit Notice</t>
        </is>
      </c>
      <c r="E12" s="4" t="inlineStr">
        <is>
          <t>Letter</t>
        </is>
      </c>
      <c r="F12" s="4" t="inlineStr">
        <is>
          <t>Urgent</t>
        </is>
      </c>
      <c r="G12" s="3" t="inlineStr">
        <is>
          <t>HR Director</t>
        </is>
      </c>
      <c r="H12" s="3" t="inlineStr">
        <is>
          <t>HR</t>
        </is>
      </c>
      <c r="I12" s="4" t="inlineStr">
        <is>
          <t>In Progress</t>
        </is>
      </c>
      <c r="J12" s="4" t="inlineStr">
        <is>
          <t>Yes</t>
        </is>
      </c>
      <c r="K12" s="4" t="inlineStr">
        <is>
          <t>2026-02-21</t>
        </is>
      </c>
      <c r="L12" s="4" t="inlineStr"/>
      <c r="M12" s="4">
        <f>IF(L12="","",L12-B12)</f>
        <v/>
      </c>
      <c r="N12" s="3" t="inlineStr">
        <is>
          <t>Preparing documents</t>
        </is>
      </c>
    </row>
    <row r="13">
      <c r="A13" s="3" t="inlineStr">
        <is>
          <t>IN-2026-010</t>
        </is>
      </c>
      <c r="B13" s="4" t="inlineStr">
        <is>
          <t>2026-02-14</t>
        </is>
      </c>
      <c r="C13" s="3" t="inlineStr">
        <is>
          <t>Insurance Company</t>
        </is>
      </c>
      <c r="D13" s="3" t="inlineStr">
        <is>
          <t>Policy Renewal</t>
        </is>
      </c>
      <c r="E13" s="4" t="inlineStr">
        <is>
          <t>Email</t>
        </is>
      </c>
      <c r="F13" s="4" t="inlineStr">
        <is>
          <t>High</t>
        </is>
      </c>
      <c r="G13" s="3" t="inlineStr">
        <is>
          <t>Finance</t>
        </is>
      </c>
      <c r="H13" s="3" t="inlineStr">
        <is>
          <t>Finance</t>
        </is>
      </c>
      <c r="I13" s="4" t="inlineStr">
        <is>
          <t>Pending</t>
        </is>
      </c>
      <c r="J13" s="4" t="inlineStr">
        <is>
          <t>Yes</t>
        </is>
      </c>
      <c r="K13" s="4" t="inlineStr">
        <is>
          <t>2026-02-28</t>
        </is>
      </c>
      <c r="L13" s="4" t="inlineStr"/>
      <c r="M13" s="4">
        <f>IF(L13="","",L13-B13)</f>
        <v/>
      </c>
      <c r="N13" s="3" t="inlineStr">
        <is>
          <t>Quote requested</t>
        </is>
      </c>
    </row>
    <row r="14">
      <c r="A14" s="3" t="inlineStr">
        <is>
          <t>IN-2026-011</t>
        </is>
      </c>
      <c r="B14" s="4" t="inlineStr">
        <is>
          <t>2026-02-15</t>
        </is>
      </c>
      <c r="C14" s="3" t="inlineStr">
        <is>
          <t>Client - XYZ Ltd</t>
        </is>
      </c>
      <c r="D14" s="3" t="inlineStr">
        <is>
          <t>Support Request</t>
        </is>
      </c>
      <c r="E14" s="4" t="inlineStr">
        <is>
          <t>Email</t>
        </is>
      </c>
      <c r="F14" s="4" t="inlineStr">
        <is>
          <t>High</t>
        </is>
      </c>
      <c r="G14" s="3" t="inlineStr">
        <is>
          <t>IT Support</t>
        </is>
      </c>
      <c r="H14" s="3" t="inlineStr">
        <is>
          <t>IT</t>
        </is>
      </c>
      <c r="I14" s="4" t="inlineStr">
        <is>
          <t>Replied</t>
        </is>
      </c>
      <c r="J14" s="4" t="inlineStr">
        <is>
          <t>Yes</t>
        </is>
      </c>
      <c r="K14" s="4" t="inlineStr">
        <is>
          <t>2026-02-16</t>
        </is>
      </c>
      <c r="L14" s="4" t="inlineStr">
        <is>
          <t>2026-02-15</t>
        </is>
      </c>
      <c r="M14" s="4">
        <f>IF(L14="","",L14-B14)</f>
        <v/>
      </c>
      <c r="N14" s="3" t="inlineStr">
        <is>
          <t>Issue resolved</t>
        </is>
      </c>
    </row>
    <row r="15">
      <c r="A15" s="3" t="inlineStr">
        <is>
          <t>IN-2026-012</t>
        </is>
      </c>
      <c r="B15" s="4" t="inlineStr">
        <is>
          <t>2026-02-15</t>
        </is>
      </c>
      <c r="C15" s="3" t="inlineStr">
        <is>
          <t>Legal Firm</t>
        </is>
      </c>
      <c r="D15" s="3" t="inlineStr">
        <is>
          <t>Contract Review</t>
        </is>
      </c>
      <c r="E15" s="4" t="inlineStr">
        <is>
          <t>Email</t>
        </is>
      </c>
      <c r="F15" s="4" t="inlineStr">
        <is>
          <t>Medium</t>
        </is>
      </c>
      <c r="G15" s="3" t="inlineStr">
        <is>
          <t>Legal Team</t>
        </is>
      </c>
      <c r="H15" s="3" t="inlineStr">
        <is>
          <t>Legal</t>
        </is>
      </c>
      <c r="I15" s="4" t="inlineStr">
        <is>
          <t>In Progress</t>
        </is>
      </c>
      <c r="J15" s="4" t="inlineStr">
        <is>
          <t>Yes</t>
        </is>
      </c>
      <c r="K15" s="4" t="inlineStr">
        <is>
          <t>2026-02-22</t>
        </is>
      </c>
      <c r="L15" s="4" t="inlineStr"/>
      <c r="M15" s="4">
        <f>IF(L15="","",L15-B15)</f>
        <v/>
      </c>
      <c r="N15" s="3" t="inlineStr">
        <is>
          <t>Under review</t>
        </is>
      </c>
    </row>
    <row r="16">
      <c r="A16" s="3" t="inlineStr">
        <is>
          <t>IN-2026-013</t>
        </is>
      </c>
      <c r="B16" s="4" t="inlineStr">
        <is>
          <t>2026-02-16</t>
        </is>
      </c>
      <c r="C16" s="3" t="inlineStr">
        <is>
          <t>Qatar Foundation</t>
        </is>
      </c>
      <c r="D16" s="3" t="inlineStr">
        <is>
          <t>Partnership Inquiry</t>
        </is>
      </c>
      <c r="E16" s="4" t="inlineStr">
        <is>
          <t>Email</t>
        </is>
      </c>
      <c r="F16" s="4" t="inlineStr">
        <is>
          <t>Medium</t>
        </is>
      </c>
      <c r="G16" s="3" t="inlineStr">
        <is>
          <t>CEO Office</t>
        </is>
      </c>
      <c r="H16" s="3" t="inlineStr">
        <is>
          <t>Management</t>
        </is>
      </c>
      <c r="I16" s="4" t="inlineStr">
        <is>
          <t>Pending</t>
        </is>
      </c>
      <c r="J16" s="4" t="inlineStr">
        <is>
          <t>Yes</t>
        </is>
      </c>
      <c r="K16" s="4" t="inlineStr">
        <is>
          <t>2026-02-23</t>
        </is>
      </c>
      <c r="L16" s="4" t="inlineStr"/>
      <c r="M16" s="4">
        <f>IF(L16="","",L16-B16)</f>
        <v/>
      </c>
      <c r="N16" s="3" t="inlineStr">
        <is>
          <t>Meeting scheduled</t>
        </is>
      </c>
    </row>
    <row r="17">
      <c r="A17" s="3" t="inlineStr">
        <is>
          <t>IN-2026-014</t>
        </is>
      </c>
      <c r="B17" s="4" t="inlineStr">
        <is>
          <t>2026-02-16</t>
        </is>
      </c>
      <c r="C17" s="3" t="inlineStr">
        <is>
          <t>Cisco Systems</t>
        </is>
      </c>
      <c r="D17" s="3" t="inlineStr">
        <is>
          <t>Product Update</t>
        </is>
      </c>
      <c r="E17" s="4" t="inlineStr">
        <is>
          <t>Email</t>
        </is>
      </c>
      <c r="F17" s="4" t="inlineStr">
        <is>
          <t>Low</t>
        </is>
      </c>
      <c r="G17" s="3" t="inlineStr">
        <is>
          <t>IT Team</t>
        </is>
      </c>
      <c r="H17" s="3" t="inlineStr">
        <is>
          <t>IT</t>
        </is>
      </c>
      <c r="I17" s="4" t="inlineStr">
        <is>
          <t>Filed</t>
        </is>
      </c>
      <c r="J17" s="4" t="inlineStr">
        <is>
          <t>No</t>
        </is>
      </c>
      <c r="K17" s="4" t="inlineStr"/>
      <c r="L17" s="4" t="inlineStr"/>
      <c r="M17" s="4">
        <f>IF(L17="","",L17-B17)</f>
        <v/>
      </c>
      <c r="N17" s="3" t="inlineStr">
        <is>
          <t>Information only</t>
        </is>
      </c>
    </row>
    <row r="18">
      <c r="A18" s="3" t="inlineStr">
        <is>
          <t>IN-2026-015</t>
        </is>
      </c>
      <c r="B18" s="4" t="inlineStr">
        <is>
          <t>2026-02-17</t>
        </is>
      </c>
      <c r="C18" s="3" t="inlineStr">
        <is>
          <t>Client - DEF Inc</t>
        </is>
      </c>
      <c r="D18" s="3" t="inlineStr">
        <is>
          <t>Complaint</t>
        </is>
      </c>
      <c r="E18" s="4" t="inlineStr">
        <is>
          <t>Email</t>
        </is>
      </c>
      <c r="F18" s="4" t="inlineStr">
        <is>
          <t>Urgent</t>
        </is>
      </c>
      <c r="G18" s="3" t="inlineStr">
        <is>
          <t>Customer Service</t>
        </is>
      </c>
      <c r="H18" s="3" t="inlineStr">
        <is>
          <t>Operations</t>
        </is>
      </c>
      <c r="I18" s="4" t="inlineStr">
        <is>
          <t>In Progress</t>
        </is>
      </c>
      <c r="J18" s="4" t="inlineStr">
        <is>
          <t>Yes</t>
        </is>
      </c>
      <c r="K18" s="4" t="inlineStr">
        <is>
          <t>2026-02-18</t>
        </is>
      </c>
      <c r="L18" s="4" t="inlineStr"/>
      <c r="M18" s="4">
        <f>IF(L18="","",L18-B18)</f>
        <v/>
      </c>
      <c r="N18" s="3" t="inlineStr">
        <is>
          <t>Escalated to management</t>
        </is>
      </c>
    </row>
  </sheetData>
  <mergeCells count="1">
    <mergeCell ref="A1:N1"/>
  </mergeCells>
  <conditionalFormatting sqref="F4:F1000">
    <cfRule type="cellIs" priority="1" operator="equal" dxfId="0">
      <formula>"Urgent"</formula>
    </cfRule>
    <cfRule type="cellIs" priority="2" operator="equal" dxfId="1">
      <formula>"High"</formula>
    </cfRule>
    <cfRule type="cellIs" priority="3" operator="equal" dxfId="2">
      <formula>"Medium"</formula>
    </cfRule>
  </conditionalFormatting>
  <conditionalFormatting sqref="I4:I1000">
    <cfRule type="cellIs" priority="4" operator="equal" dxfId="3">
      <formula>"Replied"</formula>
    </cfRule>
    <cfRule type="cellIs" priority="5" operator="equal" dxfId="4">
      <formula>"In Progress"</formula>
    </cfRule>
    <cfRule type="cellIs" priority="6" operator="equal" dxfId="5">
      <formula>"Pending"</formula>
    </cfRule>
  </conditionalFormatting>
  <dataValidations count="4">
    <dataValidation sqref="E4:E1000" showDropDown="0" showInputMessage="0" showErrorMessage="0" allowBlank="1" type="list">
      <formula1>"Email,Letter,Fax,Phone,In-Person"</formula1>
    </dataValidation>
    <dataValidation sqref="F4:F1000" showDropDown="0" showInputMessage="0" showErrorMessage="0" allowBlank="1" type="list">
      <formula1>"Urgent,High,Medium,Low"</formula1>
    </dataValidation>
    <dataValidation sqref="I4:I1000" showDropDown="0" showInputMessage="0" showErrorMessage="0" allowBlank="1" type="list">
      <formula1>"Pending,In Progress,Replied,Filed,Closed"</formula1>
    </dataValidation>
    <dataValidation sqref="J4:J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8" customWidth="1" min="4" max="4"/>
    <col width="8" customWidth="1" min="5" max="5"/>
    <col width="10" customWidth="1" min="6" max="6"/>
    <col width="16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  <col width="12" customWidth="1" min="13" max="13"/>
    <col width="25" customWidth="1" min="14" max="14"/>
  </cols>
  <sheetData>
    <row r="1" ht="35" customHeight="1">
      <c r="A1" s="1" t="inlineStr">
        <is>
          <t>OUTGOING CORRESPONDENCE LOG</t>
        </is>
      </c>
    </row>
    <row r="3">
      <c r="A3" s="2" t="inlineStr">
        <is>
          <t>Reference Number</t>
        </is>
      </c>
      <c r="B3" s="2" t="inlineStr">
        <is>
          <t>Date Sent</t>
        </is>
      </c>
      <c r="C3" s="2" t="inlineStr">
        <is>
          <t>To (Recipient)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Priority</t>
        </is>
      </c>
      <c r="G3" s="2" t="inlineStr">
        <is>
          <t>Sent By</t>
        </is>
      </c>
      <c r="H3" s="2" t="inlineStr">
        <is>
          <t>Department</t>
        </is>
      </c>
      <c r="I3" s="2" t="inlineStr">
        <is>
          <t>Status</t>
        </is>
      </c>
      <c r="J3" s="2" t="inlineStr">
        <is>
          <t>Delivery Method</t>
        </is>
      </c>
      <c r="K3" s="2" t="inlineStr">
        <is>
          <t>Tracking Number</t>
        </is>
      </c>
      <c r="L3" s="2" t="inlineStr">
        <is>
          <t>Confirmation Received</t>
        </is>
      </c>
      <c r="M3" s="2" t="inlineStr">
        <is>
          <t>Response Due</t>
        </is>
      </c>
      <c r="N3" s="2" t="inlineStr">
        <is>
          <t>Notes</t>
        </is>
      </c>
    </row>
    <row r="4">
      <c r="A4" s="3" t="inlineStr">
        <is>
          <t>OUT-2026-001</t>
        </is>
      </c>
      <c r="B4" s="4" t="inlineStr">
        <is>
          <t>2026-02-10</t>
        </is>
      </c>
      <c r="C4" s="3" t="inlineStr">
        <is>
          <t>Ministry of Commerce</t>
        </is>
      </c>
      <c r="D4" s="3" t="inlineStr">
        <is>
          <t>License Renewal Application</t>
        </is>
      </c>
      <c r="E4" s="4" t="inlineStr">
        <is>
          <t>Letter</t>
        </is>
      </c>
      <c r="F4" s="4" t="inlineStr">
        <is>
          <t>High</t>
        </is>
      </c>
      <c r="G4" s="3" t="inlineStr">
        <is>
          <t>Legal Team</t>
        </is>
      </c>
      <c r="H4" s="3" t="inlineStr">
        <is>
          <t>Legal</t>
        </is>
      </c>
      <c r="I4" s="4" t="inlineStr">
        <is>
          <t>Delivered</t>
        </is>
      </c>
      <c r="J4" s="4" t="inlineStr">
        <is>
          <t>Courier</t>
        </is>
      </c>
      <c r="K4" s="3" t="inlineStr">
        <is>
          <t>TRK-001234</t>
        </is>
      </c>
      <c r="L4" s="4" t="inlineStr">
        <is>
          <t>Yes</t>
        </is>
      </c>
      <c r="M4" s="4" t="inlineStr">
        <is>
          <t>2026-02-24</t>
        </is>
      </c>
      <c r="N4" s="3" t="inlineStr">
        <is>
          <t>Submitted on time</t>
        </is>
      </c>
    </row>
    <row r="5">
      <c r="A5" s="3" t="inlineStr">
        <is>
          <t>OUT-2026-002</t>
        </is>
      </c>
      <c r="B5" s="4" t="inlineStr">
        <is>
          <t>2026-02-11</t>
        </is>
      </c>
      <c r="C5" s="3" t="inlineStr">
        <is>
          <t>Client - ABC Corp</t>
        </is>
      </c>
      <c r="D5" s="3" t="inlineStr">
        <is>
          <t>Project Proposal</t>
        </is>
      </c>
      <c r="E5" s="4" t="inlineStr">
        <is>
          <t>Email</t>
        </is>
      </c>
      <c r="F5" s="4" t="inlineStr">
        <is>
          <t>Urgent</t>
        </is>
      </c>
      <c r="G5" s="3" t="inlineStr">
        <is>
          <t>Sales Team</t>
        </is>
      </c>
      <c r="H5" s="3" t="inlineStr">
        <is>
          <t>Sales</t>
        </is>
      </c>
      <c r="I5" s="4" t="inlineStr">
        <is>
          <t>Delivered</t>
        </is>
      </c>
      <c r="J5" s="4" t="inlineStr">
        <is>
          <t>Email</t>
        </is>
      </c>
      <c r="K5" s="3" t="inlineStr"/>
      <c r="L5" s="4" t="inlineStr">
        <is>
          <t>Yes</t>
        </is>
      </c>
      <c r="M5" s="4" t="inlineStr">
        <is>
          <t>2026-02-18</t>
        </is>
      </c>
      <c r="N5" s="3" t="inlineStr">
        <is>
          <t>Awaiting feedback</t>
        </is>
      </c>
    </row>
    <row r="6">
      <c r="A6" s="3" t="inlineStr">
        <is>
          <t>OUT-2026-003</t>
        </is>
      </c>
      <c r="B6" s="4" t="inlineStr">
        <is>
          <t>2026-02-12</t>
        </is>
      </c>
      <c r="C6" s="3" t="inlineStr">
        <is>
          <t>Microsoft Qatar</t>
        </is>
      </c>
      <c r="D6" s="3" t="inlineStr">
        <is>
          <t>Contract Queries</t>
        </is>
      </c>
      <c r="E6" s="4" t="inlineStr">
        <is>
          <t>Email</t>
        </is>
      </c>
      <c r="F6" s="4" t="inlineStr">
        <is>
          <t>High</t>
        </is>
      </c>
      <c r="G6" s="3" t="inlineStr">
        <is>
          <t>IT Director</t>
        </is>
      </c>
      <c r="H6" s="3" t="inlineStr">
        <is>
          <t>IT</t>
        </is>
      </c>
      <c r="I6" s="4" t="inlineStr">
        <is>
          <t>Delivered</t>
        </is>
      </c>
      <c r="J6" s="4" t="inlineStr">
        <is>
          <t>Email</t>
        </is>
      </c>
      <c r="K6" s="3" t="inlineStr"/>
      <c r="L6" s="4" t="inlineStr">
        <is>
          <t>Yes</t>
        </is>
      </c>
      <c r="M6" s="4" t="inlineStr">
        <is>
          <t>2026-02-19</t>
        </is>
      </c>
      <c r="N6" s="3" t="inlineStr">
        <is>
          <t>Questions sent</t>
        </is>
      </c>
    </row>
    <row r="7">
      <c r="A7" s="3" t="inlineStr">
        <is>
          <t>OUT-2026-004</t>
        </is>
      </c>
      <c r="B7" s="4" t="inlineStr">
        <is>
          <t>2026-02-12</t>
        </is>
      </c>
      <c r="C7" s="3" t="inlineStr">
        <is>
          <t>Qatar Chamber</t>
        </is>
      </c>
      <c r="D7" s="3" t="inlineStr">
        <is>
          <t>Membership Payment</t>
        </is>
      </c>
      <c r="E7" s="4" t="inlineStr">
        <is>
          <t>Email</t>
        </is>
      </c>
      <c r="F7" s="4" t="inlineStr">
        <is>
          <t>Medium</t>
        </is>
      </c>
      <c r="G7" s="3" t="inlineStr">
        <is>
          <t>Finance</t>
        </is>
      </c>
      <c r="H7" s="3" t="inlineStr">
        <is>
          <t>Finance</t>
        </is>
      </c>
      <c r="I7" s="4" t="inlineStr">
        <is>
          <t>Delivered</t>
        </is>
      </c>
      <c r="J7" s="4" t="inlineStr">
        <is>
          <t>Email</t>
        </is>
      </c>
      <c r="K7" s="3" t="inlineStr"/>
      <c r="L7" s="4" t="inlineStr">
        <is>
          <t>Yes</t>
        </is>
      </c>
      <c r="M7" s="4" t="inlineStr"/>
      <c r="N7" s="3" t="inlineStr">
        <is>
          <t>Payment confirmation</t>
        </is>
      </c>
    </row>
    <row r="8">
      <c r="A8" s="3" t="inlineStr">
        <is>
          <t>OUT-2026-005</t>
        </is>
      </c>
      <c r="B8" s="4" t="inlineStr">
        <is>
          <t>2026-02-13</t>
        </is>
      </c>
      <c r="C8" s="3" t="inlineStr">
        <is>
          <t>Vendor - Tech Supplies</t>
        </is>
      </c>
      <c r="D8" s="3" t="inlineStr">
        <is>
          <t>Purchase Order #PO-2026-089</t>
        </is>
      </c>
      <c r="E8" s="4" t="inlineStr">
        <is>
          <t>Email</t>
        </is>
      </c>
      <c r="F8" s="4" t="inlineStr">
        <is>
          <t>Medium</t>
        </is>
      </c>
      <c r="G8" s="3" t="inlineStr">
        <is>
          <t>Procurement</t>
        </is>
      </c>
      <c r="H8" s="3" t="inlineStr">
        <is>
          <t>Operations</t>
        </is>
      </c>
      <c r="I8" s="4" t="inlineStr">
        <is>
          <t>Delivered</t>
        </is>
      </c>
      <c r="J8" s="4" t="inlineStr">
        <is>
          <t>Email</t>
        </is>
      </c>
      <c r="K8" s="3" t="inlineStr"/>
      <c r="L8" s="4" t="inlineStr">
        <is>
          <t>Yes</t>
        </is>
      </c>
      <c r="M8" s="4" t="inlineStr">
        <is>
          <t>2026-02-20</t>
        </is>
      </c>
      <c r="N8" s="3" t="inlineStr">
        <is>
          <t>Order placed</t>
        </is>
      </c>
    </row>
    <row r="9">
      <c r="A9" s="3" t="inlineStr">
        <is>
          <t>OUT-2026-006</t>
        </is>
      </c>
      <c r="B9" s="4" t="inlineStr">
        <is>
          <t>2026-02-14</t>
        </is>
      </c>
      <c r="C9" s="3" t="inlineStr">
        <is>
          <t>Qatar Electricity</t>
        </is>
      </c>
      <c r="D9" s="3" t="inlineStr">
        <is>
          <t>Power Upgrade Acknowledgment</t>
        </is>
      </c>
      <c r="E9" s="4" t="inlineStr">
        <is>
          <t>Letter</t>
        </is>
      </c>
      <c r="F9" s="4" t="inlineStr">
        <is>
          <t>Medium</t>
        </is>
      </c>
      <c r="G9" s="3" t="inlineStr">
        <is>
          <t>Facilities</t>
        </is>
      </c>
      <c r="H9" s="3" t="inlineStr">
        <is>
          <t>Operations</t>
        </is>
      </c>
      <c r="I9" s="4" t="inlineStr">
        <is>
          <t>Delivered</t>
        </is>
      </c>
      <c r="J9" s="4" t="inlineStr">
        <is>
          <t>Hand Delivery</t>
        </is>
      </c>
      <c r="K9" s="3" t="inlineStr"/>
      <c r="L9" s="4" t="inlineStr">
        <is>
          <t>Yes</t>
        </is>
      </c>
      <c r="M9" s="4" t="inlineStr"/>
      <c r="N9" s="3" t="inlineStr">
        <is>
          <t>Acknowledged</t>
        </is>
      </c>
    </row>
    <row r="10">
      <c r="A10" s="3" t="inlineStr">
        <is>
          <t>OUT-2026-007</t>
        </is>
      </c>
      <c r="B10" s="4" t="inlineStr">
        <is>
          <t>2026-02-14</t>
        </is>
      </c>
      <c r="C10" s="3" t="inlineStr">
        <is>
          <t>Insurance Company</t>
        </is>
      </c>
      <c r="D10" s="3" t="inlineStr">
        <is>
          <t>Quote Request</t>
        </is>
      </c>
      <c r="E10" s="4" t="inlineStr">
        <is>
          <t>Email</t>
        </is>
      </c>
      <c r="F10" s="4" t="inlineStr">
        <is>
          <t>High</t>
        </is>
      </c>
      <c r="G10" s="3" t="inlineStr">
        <is>
          <t>Finance</t>
        </is>
      </c>
      <c r="H10" s="3" t="inlineStr">
        <is>
          <t>Finance</t>
        </is>
      </c>
      <c r="I10" s="4" t="inlineStr">
        <is>
          <t>Delivered</t>
        </is>
      </c>
      <c r="J10" s="4" t="inlineStr">
        <is>
          <t>Email</t>
        </is>
      </c>
      <c r="K10" s="3" t="inlineStr"/>
      <c r="L10" s="4" t="inlineStr">
        <is>
          <t>No</t>
        </is>
      </c>
      <c r="M10" s="4" t="inlineStr">
        <is>
          <t>2026-02-21</t>
        </is>
      </c>
      <c r="N10" s="3" t="inlineStr">
        <is>
          <t>Awaiting quote</t>
        </is>
      </c>
    </row>
    <row r="11">
      <c r="A11" s="3" t="inlineStr">
        <is>
          <t>OUT-2026-008</t>
        </is>
      </c>
      <c r="B11" s="4" t="inlineStr">
        <is>
          <t>2026-02-15</t>
        </is>
      </c>
      <c r="C11" s="3" t="inlineStr">
        <is>
          <t>Client - XYZ Ltd</t>
        </is>
      </c>
      <c r="D11" s="3" t="inlineStr">
        <is>
          <t>Support Resolution</t>
        </is>
      </c>
      <c r="E11" s="4" t="inlineStr">
        <is>
          <t>Email</t>
        </is>
      </c>
      <c r="F11" s="4" t="inlineStr">
        <is>
          <t>High</t>
        </is>
      </c>
      <c r="G11" s="3" t="inlineStr">
        <is>
          <t>IT Support</t>
        </is>
      </c>
      <c r="H11" s="3" t="inlineStr">
        <is>
          <t>IT</t>
        </is>
      </c>
      <c r="I11" s="4" t="inlineStr">
        <is>
          <t>Delivered</t>
        </is>
      </c>
      <c r="J11" s="4" t="inlineStr">
        <is>
          <t>Email</t>
        </is>
      </c>
      <c r="K11" s="3" t="inlineStr"/>
      <c r="L11" s="4" t="inlineStr">
        <is>
          <t>Yes</t>
        </is>
      </c>
      <c r="M11" s="4" t="inlineStr"/>
      <c r="N11" s="3" t="inlineStr">
        <is>
          <t>Issue closed</t>
        </is>
      </c>
    </row>
    <row r="12">
      <c r="A12" s="3" t="inlineStr">
        <is>
          <t>OUT-2026-009</t>
        </is>
      </c>
      <c r="B12" s="4" t="inlineStr">
        <is>
          <t>2026-02-15</t>
        </is>
      </c>
      <c r="C12" s="3" t="inlineStr">
        <is>
          <t>Ministry of Labor</t>
        </is>
      </c>
      <c r="D12" s="3" t="inlineStr">
        <is>
          <t>Compliance Documents</t>
        </is>
      </c>
      <c r="E12" s="4" t="inlineStr">
        <is>
          <t>Letter</t>
        </is>
      </c>
      <c r="F12" s="4" t="inlineStr">
        <is>
          <t>Urgent</t>
        </is>
      </c>
      <c r="G12" s="3" t="inlineStr">
        <is>
          <t>HR Director</t>
        </is>
      </c>
      <c r="H12" s="3" t="inlineStr">
        <is>
          <t>HR</t>
        </is>
      </c>
      <c r="I12" s="4" t="inlineStr">
        <is>
          <t>In Transit</t>
        </is>
      </c>
      <c r="J12" s="4" t="inlineStr">
        <is>
          <t>Courier</t>
        </is>
      </c>
      <c r="K12" s="3" t="inlineStr">
        <is>
          <t>TRK-001567</t>
        </is>
      </c>
      <c r="L12" s="4" t="inlineStr">
        <is>
          <t>No</t>
        </is>
      </c>
      <c r="M12" s="4" t="inlineStr">
        <is>
          <t>2026-02-22</t>
        </is>
      </c>
      <c r="N12" s="3" t="inlineStr">
        <is>
          <t>Documents submitted</t>
        </is>
      </c>
    </row>
    <row r="13">
      <c r="A13" s="3" t="inlineStr">
        <is>
          <t>OUT-2026-010</t>
        </is>
      </c>
      <c r="B13" s="4" t="inlineStr">
        <is>
          <t>2026-02-16</t>
        </is>
      </c>
      <c r="C13" s="3" t="inlineStr">
        <is>
          <t>Bank of Qatar</t>
        </is>
      </c>
      <c r="D13" s="3" t="inlineStr">
        <is>
          <t>Account Update Request</t>
        </is>
      </c>
      <c r="E13" s="4" t="inlineStr">
        <is>
          <t>Letter</t>
        </is>
      </c>
      <c r="F13" s="4" t="inlineStr">
        <is>
          <t>Medium</t>
        </is>
      </c>
      <c r="G13" s="3" t="inlineStr">
        <is>
          <t>Finance</t>
        </is>
      </c>
      <c r="H13" s="3" t="inlineStr">
        <is>
          <t>Finance</t>
        </is>
      </c>
      <c r="I13" s="4" t="inlineStr">
        <is>
          <t>Delivered</t>
        </is>
      </c>
      <c r="J13" s="4" t="inlineStr">
        <is>
          <t>Hand Delivery</t>
        </is>
      </c>
      <c r="K13" s="3" t="inlineStr"/>
      <c r="L13" s="4" t="inlineStr">
        <is>
          <t>Yes</t>
        </is>
      </c>
      <c r="M13" s="4" t="inlineStr"/>
      <c r="N13" s="3" t="inlineStr">
        <is>
          <t>Signatory update</t>
        </is>
      </c>
    </row>
    <row r="14">
      <c r="A14" s="3" t="inlineStr">
        <is>
          <t>OUT-2026-011</t>
        </is>
      </c>
      <c r="B14" s="4" t="inlineStr">
        <is>
          <t>2026-02-16</t>
        </is>
      </c>
      <c r="C14" s="3" t="inlineStr">
        <is>
          <t>Qatar Foundation</t>
        </is>
      </c>
      <c r="D14" s="3" t="inlineStr">
        <is>
          <t>Partnership Response</t>
        </is>
      </c>
      <c r="E14" s="4" t="inlineStr">
        <is>
          <t>Email</t>
        </is>
      </c>
      <c r="F14" s="4" t="inlineStr">
        <is>
          <t>Medium</t>
        </is>
      </c>
      <c r="G14" s="3" t="inlineStr">
        <is>
          <t>CEO Office</t>
        </is>
      </c>
      <c r="H14" s="3" t="inlineStr">
        <is>
          <t>Management</t>
        </is>
      </c>
      <c r="I14" s="4" t="inlineStr">
        <is>
          <t>Pending</t>
        </is>
      </c>
      <c r="J14" s="4" t="inlineStr">
        <is>
          <t>Email</t>
        </is>
      </c>
      <c r="K14" s="3" t="inlineStr"/>
      <c r="L14" s="4" t="inlineStr">
        <is>
          <t>No</t>
        </is>
      </c>
      <c r="M14" s="4" t="inlineStr">
        <is>
          <t>2026-02-23</t>
        </is>
      </c>
      <c r="N14" s="3" t="inlineStr">
        <is>
          <t>Draft ready</t>
        </is>
      </c>
    </row>
    <row r="15">
      <c r="A15" s="3" t="inlineStr">
        <is>
          <t>OUT-2026-012</t>
        </is>
      </c>
      <c r="B15" s="4" t="inlineStr">
        <is>
          <t>2026-02-17</t>
        </is>
      </c>
      <c r="C15" s="3" t="inlineStr">
        <is>
          <t>Client - DEF Inc</t>
        </is>
      </c>
      <c r="D15" s="3" t="inlineStr">
        <is>
          <t>Complaint Response</t>
        </is>
      </c>
      <c r="E15" s="4" t="inlineStr">
        <is>
          <t>Email</t>
        </is>
      </c>
      <c r="F15" s="4" t="inlineStr">
        <is>
          <t>Urgent</t>
        </is>
      </c>
      <c r="G15" s="3" t="inlineStr">
        <is>
          <t>Customer Service</t>
        </is>
      </c>
      <c r="H15" s="3" t="inlineStr">
        <is>
          <t>Operations</t>
        </is>
      </c>
      <c r="I15" s="4" t="inlineStr">
        <is>
          <t>Pending</t>
        </is>
      </c>
      <c r="J15" s="4" t="inlineStr">
        <is>
          <t>Email</t>
        </is>
      </c>
      <c r="K15" s="3" t="inlineStr"/>
      <c r="L15" s="4" t="inlineStr">
        <is>
          <t>No</t>
        </is>
      </c>
      <c r="M15" s="4" t="inlineStr">
        <is>
          <t>2026-02-18</t>
        </is>
      </c>
      <c r="N15" s="3" t="inlineStr">
        <is>
          <t>Awaiting approval</t>
        </is>
      </c>
    </row>
  </sheetData>
  <mergeCells count="1">
    <mergeCell ref="A1:N1"/>
  </mergeCells>
  <conditionalFormatting sqref="F4:F1000">
    <cfRule type="cellIs" priority="1" operator="equal" dxfId="0">
      <formula>"Urgent"</formula>
    </cfRule>
    <cfRule type="cellIs" priority="2" operator="equal" dxfId="1">
      <formula>"High"</formula>
    </cfRule>
    <cfRule type="cellIs" priority="3" operator="equal" dxfId="2">
      <formula>"Medium"</formula>
    </cfRule>
  </conditionalFormatting>
  <conditionalFormatting sqref="I4:I1000">
    <cfRule type="cellIs" priority="4" operator="equal" dxfId="3">
      <formula>"Delivered"</formula>
    </cfRule>
    <cfRule type="cellIs" priority="5" operator="equal" dxfId="4">
      <formula>"In Transit"</formula>
    </cfRule>
    <cfRule type="cellIs" priority="6" operator="equal" dxfId="5">
      <formula>"Pending"</formula>
    </cfRule>
  </conditionalFormatting>
  <dataValidations count="5">
    <dataValidation sqref="E4:E1000" showDropDown="0" showInputMessage="0" showErrorMessage="0" allowBlank="1" type="list">
      <formula1>"Email,Letter,Fax,Phone,In-Person"</formula1>
    </dataValidation>
    <dataValidation sqref="F4:F1000" showDropDown="0" showInputMessage="0" showErrorMessage="0" allowBlank="1" type="list">
      <formula1>"Urgent,High,Medium,Low"</formula1>
    </dataValidation>
    <dataValidation sqref="I4:I1000" showDropDown="0" showInputMessage="0" showErrorMessage="0" allowBlank="1" type="list">
      <formula1>"Pending,In Transit,Delivered,Failed,Returned"</formula1>
    </dataValidation>
    <dataValidation sqref="J4:J1000" showDropDown="0" showInputMessage="0" showErrorMessage="0" allowBlank="1" type="list">
      <formula1>"Email,Courier,Hand Delivery,Fax,Registered Mail"</formula1>
    </dataValidation>
    <dataValidation sqref="L4:L1000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</cols>
  <sheetData>
    <row r="1" ht="35" customHeight="1">
      <c r="A1" s="1" t="inlineStr">
        <is>
          <t>CORRESPONDENCE RESPONSE TIME ANALYSIS</t>
        </is>
      </c>
    </row>
    <row r="3">
      <c r="A3" s="5" t="inlineStr">
        <is>
          <t>SLA SETTINGS</t>
        </is>
      </c>
    </row>
    <row r="4">
      <c r="A4" s="6" t="inlineStr">
        <is>
          <t>Urgent SLA (days):</t>
        </is>
      </c>
      <c r="B4" s="4" t="n">
        <v>1</v>
      </c>
    </row>
    <row r="5">
      <c r="A5" s="6" t="inlineStr">
        <is>
          <t>High SLA (days):</t>
        </is>
      </c>
      <c r="B5" s="4" t="n">
        <v>3</v>
      </c>
    </row>
    <row r="6">
      <c r="A6" s="6" t="inlineStr">
        <is>
          <t>Medium SLA (days):</t>
        </is>
      </c>
      <c r="B6" s="4" t="n">
        <v>5</v>
      </c>
    </row>
    <row r="7">
      <c r="A7" s="6" t="inlineStr">
        <is>
          <t>Low SLA (days):</t>
        </is>
      </c>
      <c r="B7" s="4" t="n">
        <v>10</v>
      </c>
    </row>
    <row r="9">
      <c r="A9" s="5" t="inlineStr">
        <is>
          <t>KEY PERFORMANCE METRICS</t>
        </is>
      </c>
    </row>
    <row r="10">
      <c r="A10" s="6" t="inlineStr">
        <is>
          <t>Total Incoming:</t>
        </is>
      </c>
      <c r="B10" s="4">
        <f>COUNTA('Incoming Correspondence'!A:A)-1</f>
        <v/>
      </c>
    </row>
    <row r="11">
      <c r="A11" s="6" t="inlineStr">
        <is>
          <t>Total Outgoing:</t>
        </is>
      </c>
      <c r="B11" s="4">
        <f>COUNTA('Outgoing Correspondence'!A:A)-1</f>
        <v/>
      </c>
    </row>
    <row r="12">
      <c r="A12" s="6" t="inlineStr">
        <is>
          <t>Avg Response Time (days):</t>
        </is>
      </c>
      <c r="B12" s="7">
        <f>IFERROR(AVERAGE('Incoming Correspondence'!M:M),0)</f>
        <v/>
      </c>
    </row>
    <row r="13">
      <c r="A13" s="6" t="inlineStr">
        <is>
          <t>% Responded On Time:</t>
        </is>
      </c>
      <c r="B13" s="8">
        <f>IFERROR(COUNTIFS('Incoming Correspondence'!I:I,"Replied",'Incoming Correspondence'!M:M,"&lt;="&amp;B5)/COUNTIF('Incoming Correspondence'!I:I,"Replied")*100,0)</f>
        <v/>
      </c>
    </row>
    <row r="14">
      <c r="A14" s="6" t="inlineStr">
        <is>
          <t>Overdue Items:</t>
        </is>
      </c>
      <c r="B14" s="4">
        <f>COUNTIFS('Incoming Correspondence'!I:I,"&lt;&gt;"&amp;"Replied",'Incoming Correspondence'!I:I,"&lt;&gt;"&amp;"Filed",'Incoming Correspondence'!K:K,"&lt;"&amp;TODAY())</f>
        <v/>
      </c>
    </row>
    <row r="15">
      <c r="A15" s="6" t="inlineStr">
        <is>
          <t>Pending Actions:</t>
        </is>
      </c>
      <c r="B15" s="4">
        <f>COUNTIF('Incoming Correspondence'!I:I,"Pending")+COUNTIF('Incoming Correspondence'!I:I,"In Progress")</f>
        <v/>
      </c>
    </row>
    <row r="17">
      <c r="A17" s="5" t="inlineStr">
        <is>
          <t>SLA COMPLIANCE BY PRIORITY</t>
        </is>
      </c>
    </row>
    <row r="18">
      <c r="A18" s="9" t="inlineStr">
        <is>
          <t>Priority</t>
        </is>
      </c>
      <c r="B18" s="9" t="inlineStr">
        <is>
          <t>Total</t>
        </is>
      </c>
      <c r="C18" s="9" t="inlineStr">
        <is>
          <t>On Time</t>
        </is>
      </c>
      <c r="D18" s="9" t="inlineStr">
        <is>
          <t>Compliance %</t>
        </is>
      </c>
    </row>
    <row r="19">
      <c r="A19" s="10" t="inlineStr">
        <is>
          <t>Urgent</t>
        </is>
      </c>
      <c r="B19" s="10">
        <f>COUNTIF('Incoming Correspondence'!F:F,A19)</f>
        <v/>
      </c>
      <c r="C19" s="10">
        <f>COUNTIFS('Incoming Correspondence'!F:F,A19,'Incoming Correspondence'!I:I,"Replied")</f>
        <v/>
      </c>
      <c r="D19" s="11">
        <f>IFERROR(C19/B19*100,0)</f>
        <v/>
      </c>
    </row>
    <row r="20">
      <c r="A20" s="10" t="inlineStr">
        <is>
          <t>High</t>
        </is>
      </c>
      <c r="B20" s="10">
        <f>COUNTIF('Incoming Correspondence'!F:F,A20)</f>
        <v/>
      </c>
      <c r="C20" s="10">
        <f>COUNTIFS('Incoming Correspondence'!F:F,A20,'Incoming Correspondence'!I:I,"Replied")</f>
        <v/>
      </c>
      <c r="D20" s="11">
        <f>IFERROR(C20/B20*100,0)</f>
        <v/>
      </c>
    </row>
    <row r="21">
      <c r="A21" s="10" t="inlineStr">
        <is>
          <t>Medium</t>
        </is>
      </c>
      <c r="B21" s="10">
        <f>COUNTIF('Incoming Correspondence'!F:F,A21)</f>
        <v/>
      </c>
      <c r="C21" s="10">
        <f>COUNTIFS('Incoming Correspondence'!F:F,A21,'Incoming Correspondence'!I:I,"Replied")</f>
        <v/>
      </c>
      <c r="D21" s="11">
        <f>IFERROR(C21/B21*100,0)</f>
        <v/>
      </c>
    </row>
    <row r="22">
      <c r="A22" s="10" t="inlineStr">
        <is>
          <t>Low</t>
        </is>
      </c>
      <c r="B22" s="10">
        <f>COUNTIF('Incoming Correspondence'!F:F,A22)</f>
        <v/>
      </c>
      <c r="C22" s="10">
        <f>COUNTIFS('Incoming Correspondence'!F:F,A22,'Incoming Correspondence'!I:I,"Replied")</f>
        <v/>
      </c>
      <c r="D22" s="11">
        <f>IFERROR(C22/B22*100,0)</f>
        <v/>
      </c>
    </row>
    <row r="25">
      <c r="A25" s="5" t="inlineStr">
        <is>
          <t>DEPARTMENT RESPONSE PERFORMANCE</t>
        </is>
      </c>
    </row>
    <row r="26">
      <c r="A26" s="9" t="inlineStr">
        <is>
          <t>Department</t>
        </is>
      </c>
      <c r="B26" s="9" t="inlineStr">
        <is>
          <t>Received</t>
        </is>
      </c>
      <c r="C26" s="9" t="inlineStr">
        <is>
          <t>Replied</t>
        </is>
      </c>
      <c r="D26" s="9" t="inlineStr">
        <is>
          <t>Avg Days</t>
        </is>
      </c>
    </row>
    <row r="27">
      <c r="A27" s="10" t="inlineStr">
        <is>
          <t>IT</t>
        </is>
      </c>
      <c r="B27" s="10">
        <f>COUNTIF('Incoming Correspondence'!H:H,A27)</f>
        <v/>
      </c>
      <c r="C27" s="10">
        <f>COUNTIFS('Incoming Correspondence'!H:H,A27,'Incoming Correspondence'!I:I,"Replied")</f>
        <v/>
      </c>
      <c r="D27" s="10">
        <f>IFERROR(AVERAGEIFS('Incoming Correspondence'!M:M,'Incoming Correspondence'!H:H,A27),"-")</f>
        <v/>
      </c>
    </row>
    <row r="28">
      <c r="A28" s="10" t="inlineStr">
        <is>
          <t>HR</t>
        </is>
      </c>
      <c r="B28" s="10">
        <f>COUNTIF('Incoming Correspondence'!H:H,A28)</f>
        <v/>
      </c>
      <c r="C28" s="10">
        <f>COUNTIFS('Incoming Correspondence'!H:H,A28,'Incoming Correspondence'!I:I,"Replied")</f>
        <v/>
      </c>
      <c r="D28" s="10">
        <f>IFERROR(AVERAGEIFS('Incoming Correspondence'!M:M,'Incoming Correspondence'!H:H,A28),"-")</f>
        <v/>
      </c>
    </row>
    <row r="29">
      <c r="A29" s="10" t="inlineStr">
        <is>
          <t>Finance</t>
        </is>
      </c>
      <c r="B29" s="10">
        <f>COUNTIF('Incoming Correspondence'!H:H,A29)</f>
        <v/>
      </c>
      <c r="C29" s="10">
        <f>COUNTIFS('Incoming Correspondence'!H:H,A29,'Incoming Correspondence'!I:I,"Replied")</f>
        <v/>
      </c>
      <c r="D29" s="10">
        <f>IFERROR(AVERAGEIFS('Incoming Correspondence'!M:M,'Incoming Correspondence'!H:H,A29),"-")</f>
        <v/>
      </c>
    </row>
    <row r="30">
      <c r="A30" s="10" t="inlineStr">
        <is>
          <t>Legal</t>
        </is>
      </c>
      <c r="B30" s="10">
        <f>COUNTIF('Incoming Correspondence'!H:H,A30)</f>
        <v/>
      </c>
      <c r="C30" s="10">
        <f>COUNTIFS('Incoming Correspondence'!H:H,A30,'Incoming Correspondence'!I:I,"Replied")</f>
        <v/>
      </c>
      <c r="D30" s="10">
        <f>IFERROR(AVERAGEIFS('Incoming Correspondence'!M:M,'Incoming Correspondence'!H:H,A30),"-")</f>
        <v/>
      </c>
    </row>
    <row r="31">
      <c r="A31" s="10" t="inlineStr">
        <is>
          <t>Operations</t>
        </is>
      </c>
      <c r="B31" s="10">
        <f>COUNTIF('Incoming Correspondence'!H:H,A31)</f>
        <v/>
      </c>
      <c r="C31" s="10">
        <f>COUNTIFS('Incoming Correspondence'!H:H,A31,'Incoming Correspondence'!I:I,"Replied")</f>
        <v/>
      </c>
      <c r="D31" s="10">
        <f>IFERROR(AVERAGEIFS('Incoming Correspondence'!M:M,'Incoming Correspondence'!H:H,A31),"-")</f>
        <v/>
      </c>
    </row>
    <row r="32">
      <c r="A32" s="10" t="inlineStr">
        <is>
          <t>Sales</t>
        </is>
      </c>
      <c r="B32" s="10">
        <f>COUNTIF('Incoming Correspondence'!H:H,A32)</f>
        <v/>
      </c>
      <c r="C32" s="10">
        <f>COUNTIFS('Incoming Correspondence'!H:H,A32,'Incoming Correspondence'!I:I,"Replied")</f>
        <v/>
      </c>
      <c r="D32" s="10">
        <f>IFERROR(AVERAGEIFS('Incoming Correspondence'!M:M,'Incoming Correspondence'!H:H,A32),"-")</f>
        <v/>
      </c>
    </row>
    <row r="33">
      <c r="A33" s="10" t="inlineStr">
        <is>
          <t>Management</t>
        </is>
      </c>
      <c r="B33" s="10">
        <f>COUNTIF('Incoming Correspondence'!H:H,A33)</f>
        <v/>
      </c>
      <c r="C33" s="10">
        <f>COUNTIFS('Incoming Correspondence'!H:H,A33,'Incoming Correspondence'!I:I,"Replied")</f>
        <v/>
      </c>
      <c r="D33" s="10">
        <f>IFERROR(AVERAGEIFS('Incoming Correspondence'!M:M,'Incoming Correspondence'!H:H,A33),"-")</f>
        <v/>
      </c>
    </row>
  </sheetData>
  <mergeCells count="5">
    <mergeCell ref="A17:D17"/>
    <mergeCell ref="A9:D9"/>
    <mergeCell ref="A3:D3"/>
    <mergeCell ref="A25:D25"/>
    <mergeCell ref="A1:H1"/>
  </mergeCells>
  <conditionalFormatting sqref="D19:D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2026-02-16T03:37:46Z</dcterms:created>
  <dcterms:modified xmlns:dcterms="http://purl.org/dc/terms/" xmlns:xsi="http://www.w3.org/2001/XMLSchema-instance" xsi:type="dcterms:W3CDTF">2026-02-16T03:38:30Z</dcterms:modified>
</cp:coreProperties>
</file>