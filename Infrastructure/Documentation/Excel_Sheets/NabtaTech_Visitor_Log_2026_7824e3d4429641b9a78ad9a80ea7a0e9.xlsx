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Visitor Log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Appointment Scheduler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6"/>
    </font>
    <font>
      <b val="1"/>
    </font>
    <font>
      <b val="1"/>
      <color rgb="00FFFFFF"/>
      <sz val="14"/>
    </font>
    <font>
      <b val="1"/>
      <color rgb="00FFFFFF"/>
      <sz val="20"/>
    </font>
    <font>
      <b val="1"/>
      <color rgb="004472C4"/>
      <sz val="28"/>
    </font>
    <font>
      <b val="1"/>
      <color rgb="00ED7D31"/>
      <sz val="28"/>
    </font>
    <font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0" pivotButton="0" quotePrefix="0" xfId="0"/>
    <xf numFmtId="0" fontId="0" fillId="0" borderId="1" pivotButton="0" quotePrefix="0" xfId="0"/>
    <xf numFmtId="16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166" fontId="0" fillId="0" borderId="1" pivotButton="0" quotePrefix="0" xfId="0"/>
    <xf numFmtId="0" fontId="0" fillId="4" borderId="1" pivotButton="0" quotePrefix="0" xfId="0"/>
    <xf numFmtId="0" fontId="0" fillId="11" borderId="1" pivotButton="0" quotePrefix="0" xfId="0"/>
    <xf numFmtId="0" fontId="0" fillId="5" borderId="1" pivotButton="0" quotePrefix="0" xfId="0"/>
    <xf numFmtId="0" fontId="3" fillId="3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Visitors by Department</a:t>
            </a:r>
          </a:p>
        </rich>
      </tx>
    </title>
    <plotArea>
      <pieChart>
        <varyColors val="1"/>
        <ser>
          <idx val="0"/>
          <order val="0"/>
          <tx>
            <strRef>
              <f>'Monthly 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Summary'!$A$15:$A$20</f>
            </numRef>
          </cat>
          <val>
            <numRef>
              <f>'Monthly Summary'!$B$15:$B$20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Visitor Traffic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Summary'!$A$25:$A$31</f>
            </numRef>
          </cat>
          <val>
            <numRef>
              <f>'Monthly Summary'!$B$25:$B$31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Visitors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Visiting Companies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'Monthly Summary'!B35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Summary'!$A$36:$A$45</f>
            </numRef>
          </cat>
          <val>
            <numRef>
              <f>'Monthly Summary'!$B$36:$B$45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23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34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2" customWidth="1" min="4" max="4"/>
    <col width="16" customWidth="1" min="5" max="5"/>
    <col width="28" customWidth="1" min="6" max="6"/>
    <col width="18" customWidth="1" min="7" max="7"/>
    <col width="14" customWidth="1" min="8" max="8"/>
    <col width="32" customWidth="1" min="9" max="9"/>
    <col width="20" customWidth="1" min="10" max="10"/>
    <col width="20" customWidth="1" min="11" max="11"/>
    <col width="10" customWidth="1" min="12" max="12"/>
    <col width="12" customWidth="1" min="13" max="13"/>
    <col width="35" customWidth="1" min="14" max="14"/>
    <col width="12" customWidth="1" min="15" max="15"/>
    <col width="12" customWidth="1" min="16" max="16"/>
  </cols>
  <sheetData>
    <row r="1">
      <c r="A1" s="1" t="inlineStr">
        <is>
          <t>Date</t>
        </is>
      </c>
      <c r="B1" s="1" t="inlineStr">
        <is>
          <t>Badge Number</t>
        </is>
      </c>
      <c r="C1" s="1" t="inlineStr">
        <is>
          <t>Visitor Name</t>
        </is>
      </c>
      <c r="D1" s="1" t="inlineStr">
        <is>
          <t>Company</t>
        </is>
      </c>
      <c r="E1" s="1" t="inlineStr">
        <is>
          <t>Contact Phone</t>
        </is>
      </c>
      <c r="F1" s="1" t="inlineStr">
        <is>
          <t>Email</t>
        </is>
      </c>
      <c r="G1" s="1" t="inlineStr">
        <is>
          <t>Person to Meet</t>
        </is>
      </c>
      <c r="H1" s="1" t="inlineStr">
        <is>
          <t>Department</t>
        </is>
      </c>
      <c r="I1" s="1" t="inlineStr">
        <is>
          <t>Purpose of Visit</t>
        </is>
      </c>
      <c r="J1" s="1" t="inlineStr">
        <is>
          <t>Check-in Time</t>
        </is>
      </c>
      <c r="K1" s="1" t="inlineStr">
        <is>
          <t>Check-out Time</t>
        </is>
      </c>
      <c r="L1" s="1" t="inlineStr">
        <is>
          <t>Duration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ID Type</t>
        </is>
      </c>
      <c r="P1" s="1" t="inlineStr">
        <is>
          <t>ID Number</t>
        </is>
      </c>
    </row>
    <row r="2">
      <c r="A2" s="2" t="inlineStr">
        <is>
          <t>2026-02-17</t>
        </is>
      </c>
      <c r="B2" s="3" t="inlineStr">
        <is>
          <t>V-20260217-1001</t>
        </is>
      </c>
      <c r="C2" s="3" t="inlineStr">
        <is>
          <t>Ahmed Hassan</t>
        </is>
      </c>
      <c r="D2" s="3" t="inlineStr">
        <is>
          <t>Tech Solutions Ltd</t>
        </is>
      </c>
      <c r="E2" s="3" t="inlineStr">
        <is>
          <t>+974-3312-3456</t>
        </is>
      </c>
      <c r="F2" s="3" t="inlineStr">
        <is>
          <t>ahmed.hassan@techsol.com</t>
        </is>
      </c>
      <c r="G2" s="3" t="inlineStr">
        <is>
          <t>Mozan Ahmed</t>
        </is>
      </c>
      <c r="H2" s="3" t="inlineStr">
        <is>
          <t>IT</t>
        </is>
      </c>
      <c r="I2" s="3" t="inlineStr">
        <is>
          <t>Network Infrastructure Consultation</t>
        </is>
      </c>
      <c r="J2" s="2" t="inlineStr">
        <is>
          <t>2026-02-17 09:15:00</t>
        </is>
      </c>
      <c r="K2" s="2" t="inlineStr">
        <is>
          <t>2026-02-17 11:30:00</t>
        </is>
      </c>
      <c r="L2" s="2" t="inlineStr">
        <is>
          <t>02:15</t>
        </is>
      </c>
      <c r="M2" s="2" t="inlineStr">
        <is>
          <t>Checked Out</t>
        </is>
      </c>
      <c r="N2" s="3" t="inlineStr">
        <is>
          <t>Discussed Cisco configuration</t>
        </is>
      </c>
      <c r="O2" s="3" t="inlineStr">
        <is>
          <t>Passport</t>
        </is>
      </c>
      <c r="P2" s="3" t="inlineStr">
        <is>
          <t>QA123456</t>
        </is>
      </c>
    </row>
    <row r="3">
      <c r="A3" s="2" t="inlineStr">
        <is>
          <t>2026-02-17</t>
        </is>
      </c>
      <c r="B3" s="3" t="inlineStr">
        <is>
          <t>V-20260217-1002</t>
        </is>
      </c>
      <c r="C3" s="3" t="inlineStr">
        <is>
          <t>Sara Ibrahim</t>
        </is>
      </c>
      <c r="D3" s="3" t="inlineStr">
        <is>
          <t>Al Jazeera Consulting</t>
        </is>
      </c>
      <c r="E3" s="3" t="inlineStr">
        <is>
          <t>+974-5578-9012</t>
        </is>
      </c>
      <c r="F3" s="3" t="inlineStr">
        <is>
          <t>sara.ibrahim@ajc.qa</t>
        </is>
      </c>
      <c r="G3" s="3" t="inlineStr">
        <is>
          <t>HR Manager</t>
        </is>
      </c>
      <c r="H3" s="3" t="inlineStr">
        <is>
          <t>HR</t>
        </is>
      </c>
      <c r="I3" s="3" t="inlineStr">
        <is>
          <t>Recruitment Partnership Discussion</t>
        </is>
      </c>
      <c r="J3" s="2" t="inlineStr">
        <is>
          <t>2026-02-17 10:00:00</t>
        </is>
      </c>
      <c r="K3" s="2" t="inlineStr">
        <is>
          <t>2026-02-17 12:00:00</t>
        </is>
      </c>
      <c r="L3" s="2" t="inlineStr">
        <is>
          <t>02:00</t>
        </is>
      </c>
      <c r="M3" s="2" t="inlineStr">
        <is>
          <t>Checked Out</t>
        </is>
      </c>
      <c r="N3" s="3" t="inlineStr">
        <is>
          <t>Partnership agreement review</t>
        </is>
      </c>
      <c r="O3" s="3" t="inlineStr">
        <is>
          <t>National ID</t>
        </is>
      </c>
      <c r="P3" s="3" t="inlineStr">
        <is>
          <t>28501234</t>
        </is>
      </c>
    </row>
    <row r="4">
      <c r="A4" s="2" t="inlineStr">
        <is>
          <t>2026-02-17</t>
        </is>
      </c>
      <c r="B4" s="3" t="inlineStr">
        <is>
          <t>V-20260217-1003</t>
        </is>
      </c>
      <c r="C4" s="3" t="inlineStr">
        <is>
          <t>Mohammed Ali</t>
        </is>
      </c>
      <c r="D4" s="3" t="inlineStr">
        <is>
          <t>Qatar Digital Services</t>
        </is>
      </c>
      <c r="E4" s="3" t="inlineStr">
        <is>
          <t>+974-6634-5678</t>
        </is>
      </c>
      <c r="F4" s="3" t="inlineStr">
        <is>
          <t>m.ali@qds.qa</t>
        </is>
      </c>
      <c r="G4" s="3" t="inlineStr">
        <is>
          <t>IT Manager</t>
        </is>
      </c>
      <c r="H4" s="3" t="inlineStr">
        <is>
          <t>IT</t>
        </is>
      </c>
      <c r="I4" s="3" t="inlineStr">
        <is>
          <t>System Integration Meeting</t>
        </is>
      </c>
      <c r="J4" s="2" t="inlineStr">
        <is>
          <t>2026-02-17 10:30:00</t>
        </is>
      </c>
      <c r="K4" s="2" t="n"/>
      <c r="L4" s="2" t="inlineStr">
        <is>
          <t>00:00</t>
        </is>
      </c>
      <c r="M4" s="2" t="inlineStr">
        <is>
          <t>Checked In</t>
        </is>
      </c>
      <c r="N4" s="3" t="inlineStr">
        <is>
          <t>Currently in meeting</t>
        </is>
      </c>
      <c r="O4" s="3" t="inlineStr">
        <is>
          <t>Passport</t>
        </is>
      </c>
      <c r="P4" s="3" t="inlineStr">
        <is>
          <t>SA789012</t>
        </is>
      </c>
    </row>
    <row r="5">
      <c r="A5" s="2" t="inlineStr">
        <is>
          <t>2026-02-17</t>
        </is>
      </c>
      <c r="B5" s="3" t="inlineStr">
        <is>
          <t>V-20260217-1004</t>
        </is>
      </c>
      <c r="C5" s="3" t="inlineStr">
        <is>
          <t>Fatima Al-Said</t>
        </is>
      </c>
      <c r="D5" s="3" t="inlineStr">
        <is>
          <t>Business Partners Co</t>
        </is>
      </c>
      <c r="E5" s="3" t="inlineStr">
        <is>
          <t>+974-4456-7890</t>
        </is>
      </c>
      <c r="F5" s="3" t="inlineStr">
        <is>
          <t>fatima@bp.com</t>
        </is>
      </c>
      <c r="G5" s="3" t="inlineStr">
        <is>
          <t>CEO</t>
        </is>
      </c>
      <c r="H5" s="3" t="inlineStr">
        <is>
          <t>Management</t>
        </is>
      </c>
      <c r="I5" s="3" t="inlineStr">
        <is>
          <t>Strategic Partnership</t>
        </is>
      </c>
      <c r="J5" s="2" t="inlineStr">
        <is>
          <t>2026-02-17 11:00:00</t>
        </is>
      </c>
      <c r="K5" s="2" t="inlineStr">
        <is>
          <t>2026-02-17 13:00:00</t>
        </is>
      </c>
      <c r="L5" s="2" t="inlineStr">
        <is>
          <t>02:00</t>
        </is>
      </c>
      <c r="M5" s="2" t="inlineStr">
        <is>
          <t>Checked Out</t>
        </is>
      </c>
      <c r="N5" s="3" t="inlineStr">
        <is>
          <t>VIP visitor - Executive suite</t>
        </is>
      </c>
      <c r="O5" s="3" t="inlineStr">
        <is>
          <t>National ID</t>
        </is>
      </c>
      <c r="P5" s="3" t="inlineStr">
        <is>
          <t>29601234</t>
        </is>
      </c>
    </row>
    <row r="6">
      <c r="A6" s="2" t="inlineStr">
        <is>
          <t>2026-02-17</t>
        </is>
      </c>
      <c r="B6" s="3" t="inlineStr">
        <is>
          <t>V-20260217-1005</t>
        </is>
      </c>
      <c r="C6" s="3" t="inlineStr">
        <is>
          <t>John Smith</t>
        </is>
      </c>
      <c r="D6" s="3" t="inlineStr">
        <is>
          <t>Global Tech Inc</t>
        </is>
      </c>
      <c r="E6" s="3" t="inlineStr">
        <is>
          <t>+974-5567-8901</t>
        </is>
      </c>
      <c r="F6" s="3" t="inlineStr">
        <is>
          <t>john.smith@globaltech.com</t>
        </is>
      </c>
      <c r="G6" s="3" t="inlineStr">
        <is>
          <t>IT Director</t>
        </is>
      </c>
      <c r="H6" s="3" t="inlineStr">
        <is>
          <t>IT</t>
        </is>
      </c>
      <c r="I6" s="3" t="inlineStr">
        <is>
          <t>Cloud Migration Discussion</t>
        </is>
      </c>
      <c r="J6" s="2" t="inlineStr">
        <is>
          <t>2026-02-17 13:30:00</t>
        </is>
      </c>
      <c r="K6" s="2" t="inlineStr">
        <is>
          <t>2026-02-17 15:00:00</t>
        </is>
      </c>
      <c r="L6" s="2" t="inlineStr">
        <is>
          <t>01:30</t>
        </is>
      </c>
      <c r="M6" s="2" t="inlineStr">
        <is>
          <t>Checked Out</t>
        </is>
      </c>
      <c r="N6" s="3" t="inlineStr">
        <is>
          <t>AWS consultation</t>
        </is>
      </c>
      <c r="O6" s="3" t="inlineStr">
        <is>
          <t>Passport</t>
        </is>
      </c>
      <c r="P6" s="3" t="inlineStr">
        <is>
          <t>US456789</t>
        </is>
      </c>
    </row>
    <row r="7">
      <c r="A7" s="2" t="inlineStr">
        <is>
          <t>2026-02-17</t>
        </is>
      </c>
      <c r="B7" s="3" t="inlineStr">
        <is>
          <t>V-20260217-1006</t>
        </is>
      </c>
      <c r="C7" s="3" t="inlineStr">
        <is>
          <t>Layla Mohammed</t>
        </is>
      </c>
      <c r="D7" s="3" t="inlineStr">
        <is>
          <t>Doha University</t>
        </is>
      </c>
      <c r="E7" s="3" t="inlineStr">
        <is>
          <t>+974-3345-6789</t>
        </is>
      </c>
      <c r="F7" s="3" t="inlineStr">
        <is>
          <t>layla.m@du.edu.qa</t>
        </is>
      </c>
      <c r="G7" s="3" t="inlineStr">
        <is>
          <t>HR Manager</t>
        </is>
      </c>
      <c r="H7" s="3" t="inlineStr">
        <is>
          <t>HR</t>
        </is>
      </c>
      <c r="I7" s="3" t="inlineStr">
        <is>
          <t>Graduate Recruitment</t>
        </is>
      </c>
      <c r="J7" s="2" t="inlineStr">
        <is>
          <t>2026-02-17 14:00:00</t>
        </is>
      </c>
      <c r="K7" s="2" t="inlineStr">
        <is>
          <t>2026-02-17 15:30:00</t>
        </is>
      </c>
      <c r="L7" s="2" t="inlineStr">
        <is>
          <t>01:30</t>
        </is>
      </c>
      <c r="M7" s="2" t="inlineStr">
        <is>
          <t>Checked Out</t>
        </is>
      </c>
      <c r="N7" s="3" t="inlineStr">
        <is>
          <t>Career fair planning</t>
        </is>
      </c>
      <c r="O7" s="3" t="inlineStr">
        <is>
          <t>National ID</t>
        </is>
      </c>
      <c r="P7" s="3" t="inlineStr">
        <is>
          <t>29101234</t>
        </is>
      </c>
    </row>
    <row r="8">
      <c r="A8" s="2" t="inlineStr">
        <is>
          <t>2026-02-17</t>
        </is>
      </c>
      <c r="B8" s="3" t="inlineStr">
        <is>
          <t>V-20260217-1007</t>
        </is>
      </c>
      <c r="C8" s="3" t="inlineStr">
        <is>
          <t>David Chen</t>
        </is>
      </c>
      <c r="D8" s="3" t="inlineStr">
        <is>
          <t>Singapore Solutions</t>
        </is>
      </c>
      <c r="E8" s="3" t="inlineStr">
        <is>
          <t>+65-9123-4567</t>
        </is>
      </c>
      <c r="F8" s="3" t="inlineStr">
        <is>
          <t>david.chen@sgsol.sg</t>
        </is>
      </c>
      <c r="G8" s="3" t="inlineStr">
        <is>
          <t>Finance Manager</t>
        </is>
      </c>
      <c r="H8" s="3" t="inlineStr">
        <is>
          <t>Finance</t>
        </is>
      </c>
      <c r="I8" s="3" t="inlineStr">
        <is>
          <t>Annual Audit Meeting</t>
        </is>
      </c>
      <c r="J8" s="2" t="inlineStr">
        <is>
          <t>2026-02-17 14:30:00</t>
        </is>
      </c>
      <c r="K8" s="2" t="n"/>
      <c r="L8" s="2" t="inlineStr">
        <is>
          <t>00:00</t>
        </is>
      </c>
      <c r="M8" s="2" t="inlineStr">
        <is>
          <t>Checked In</t>
        </is>
      </c>
      <c r="N8" s="3" t="inlineStr">
        <is>
          <t>Audit in progress</t>
        </is>
      </c>
      <c r="O8" s="3" t="inlineStr">
        <is>
          <t>Passport</t>
        </is>
      </c>
      <c r="P8" s="3" t="inlineStr">
        <is>
          <t>SG234567</t>
        </is>
      </c>
    </row>
    <row r="9">
      <c r="A9" s="2" t="inlineStr">
        <is>
          <t>2026-02-16</t>
        </is>
      </c>
      <c r="B9" s="3" t="inlineStr">
        <is>
          <t>V-20260216-1001</t>
        </is>
      </c>
      <c r="C9" s="3" t="inlineStr">
        <is>
          <t>Nora Al-Thani</t>
        </is>
      </c>
      <c r="D9" s="3" t="inlineStr">
        <is>
          <t>Qatar Airways</t>
        </is>
      </c>
      <c r="E9" s="3" t="inlineStr">
        <is>
          <t>+974-4412-3456</t>
        </is>
      </c>
      <c r="F9" s="3" t="inlineStr">
        <is>
          <t>nora.althani@qr.com</t>
        </is>
      </c>
      <c r="G9" s="3" t="inlineStr">
        <is>
          <t>DevOps Lead</t>
        </is>
      </c>
      <c r="H9" s="3" t="inlineStr">
        <is>
          <t>DevOps</t>
        </is>
      </c>
      <c r="I9" s="3" t="inlineStr">
        <is>
          <t>System Automation Discussion</t>
        </is>
      </c>
      <c r="J9" s="2" t="inlineStr">
        <is>
          <t>2026-02-16 09:00:00</t>
        </is>
      </c>
      <c r="K9" s="2" t="inlineStr">
        <is>
          <t>2026-02-16 10:30:00</t>
        </is>
      </c>
      <c r="L9" s="2" t="inlineStr">
        <is>
          <t>01:30</t>
        </is>
      </c>
      <c r="M9" s="2" t="inlineStr">
        <is>
          <t>Checked Out</t>
        </is>
      </c>
      <c r="N9" s="3" t="inlineStr">
        <is>
          <t>Jenkins CI/CD setup</t>
        </is>
      </c>
      <c r="O9" s="3" t="inlineStr">
        <is>
          <t>National ID</t>
        </is>
      </c>
      <c r="P9" s="3" t="inlineStr">
        <is>
          <t>28801234</t>
        </is>
      </c>
    </row>
    <row r="10">
      <c r="A10" s="2" t="inlineStr">
        <is>
          <t>2026-02-16</t>
        </is>
      </c>
      <c r="B10" s="3" t="inlineStr">
        <is>
          <t>V-20260216-1002</t>
        </is>
      </c>
      <c r="C10" s="3" t="inlineStr">
        <is>
          <t>Omar Khalid</t>
        </is>
      </c>
      <c r="D10" s="3" t="inlineStr">
        <is>
          <t>Ministry of Interior</t>
        </is>
      </c>
      <c r="E10" s="3" t="inlineStr">
        <is>
          <t>+974-4401-2345</t>
        </is>
      </c>
      <c r="F10" s="3" t="inlineStr">
        <is>
          <t>omar.k@moi.gov.qa</t>
        </is>
      </c>
      <c r="G10" s="3" t="inlineStr">
        <is>
          <t>Security Manager</t>
        </is>
      </c>
      <c r="H10" s="3" t="inlineStr">
        <is>
          <t>Management</t>
        </is>
      </c>
      <c r="I10" s="3" t="inlineStr">
        <is>
          <t>Security Compliance Review</t>
        </is>
      </c>
      <c r="J10" s="2" t="inlineStr">
        <is>
          <t>2026-02-16 10:00:00</t>
        </is>
      </c>
      <c r="K10" s="2" t="inlineStr">
        <is>
          <t>2026-02-16 12:30:00</t>
        </is>
      </c>
      <c r="L10" s="2" t="inlineStr">
        <is>
          <t>02:30</t>
        </is>
      </c>
      <c r="M10" s="2" t="inlineStr">
        <is>
          <t>Checked Out</t>
        </is>
      </c>
      <c r="N10" s="3" t="inlineStr">
        <is>
          <t>Government inspection</t>
        </is>
      </c>
      <c r="O10" s="3" t="inlineStr">
        <is>
          <t>National ID</t>
        </is>
      </c>
      <c r="P10" s="3" t="inlineStr">
        <is>
          <t>27901234</t>
        </is>
      </c>
    </row>
    <row r="11">
      <c r="A11" s="2" t="inlineStr">
        <is>
          <t>2026-02-16</t>
        </is>
      </c>
      <c r="B11" s="3" t="inlineStr">
        <is>
          <t>V-20260216-1003</t>
        </is>
      </c>
      <c r="C11" s="3" t="inlineStr">
        <is>
          <t>Lisa Johnson</t>
        </is>
      </c>
      <c r="D11" s="3" t="inlineStr">
        <is>
          <t>Microsoft Qatar</t>
        </is>
      </c>
      <c r="E11" s="3" t="inlineStr">
        <is>
          <t>+974-5598-7654</t>
        </is>
      </c>
      <c r="F11" s="3" t="inlineStr">
        <is>
          <t>lisa.johnson@microsoft.com</t>
        </is>
      </c>
      <c r="G11" s="3" t="inlineStr">
        <is>
          <t>IT Director</t>
        </is>
      </c>
      <c r="H11" s="3" t="inlineStr">
        <is>
          <t>IT</t>
        </is>
      </c>
      <c r="I11" s="3" t="inlineStr">
        <is>
          <t>Azure Training Session</t>
        </is>
      </c>
      <c r="J11" s="2" t="inlineStr">
        <is>
          <t>2026-02-16 11:00:00</t>
        </is>
      </c>
      <c r="K11" s="2" t="inlineStr">
        <is>
          <t>2026-02-16 16:00:00</t>
        </is>
      </c>
      <c r="L11" s="2" t="inlineStr">
        <is>
          <t>05:00</t>
        </is>
      </c>
      <c r="M11" s="2" t="inlineStr">
        <is>
          <t>Checked Out</t>
        </is>
      </c>
      <c r="N11" s="3" t="inlineStr">
        <is>
          <t>Full day workshop</t>
        </is>
      </c>
      <c r="O11" s="3" t="inlineStr">
        <is>
          <t>Passport</t>
        </is>
      </c>
      <c r="P11" s="3" t="inlineStr">
        <is>
          <t>US789012</t>
        </is>
      </c>
    </row>
    <row r="12">
      <c r="A12" s="2" t="inlineStr">
        <is>
          <t>2026-02-16</t>
        </is>
      </c>
      <c r="B12" s="3" t="inlineStr">
        <is>
          <t>V-20260216-1004</t>
        </is>
      </c>
      <c r="C12" s="3" t="inlineStr">
        <is>
          <t>Khalid Rahman</t>
        </is>
      </c>
      <c r="D12" s="3" t="inlineStr">
        <is>
          <t>Local Telecom</t>
        </is>
      </c>
      <c r="E12" s="3" t="inlineStr">
        <is>
          <t>+974-3323-4567</t>
        </is>
      </c>
      <c r="F12" s="3" t="inlineStr">
        <is>
          <t>khalid.r@telecom.qa</t>
        </is>
      </c>
      <c r="G12" s="3" t="inlineStr">
        <is>
          <t>Network Engineer</t>
        </is>
      </c>
      <c r="H12" s="3" t="inlineStr">
        <is>
          <t>IT</t>
        </is>
      </c>
      <c r="I12" s="3" t="inlineStr">
        <is>
          <t>Fiber Installation Planning</t>
        </is>
      </c>
      <c r="J12" s="2" t="inlineStr">
        <is>
          <t>2026-02-16 13:00:00</t>
        </is>
      </c>
      <c r="K12" s="2" t="inlineStr">
        <is>
          <t>2026-02-16 14:00:00</t>
        </is>
      </c>
      <c r="L12" s="2" t="inlineStr">
        <is>
          <t>01:00</t>
        </is>
      </c>
      <c r="M12" s="2" t="inlineStr">
        <is>
          <t>Checked Out</t>
        </is>
      </c>
      <c r="N12" s="3" t="inlineStr">
        <is>
          <t>Site survey completed</t>
        </is>
      </c>
      <c r="O12" s="3" t="inlineStr">
        <is>
          <t>National ID</t>
        </is>
      </c>
      <c r="P12" s="3" t="inlineStr">
        <is>
          <t>29201234</t>
        </is>
      </c>
    </row>
    <row r="13">
      <c r="A13" s="2" t="inlineStr">
        <is>
          <t>2026-02-16</t>
        </is>
      </c>
      <c r="B13" s="3" t="inlineStr">
        <is>
          <t>V-20260216-1005</t>
        </is>
      </c>
      <c r="C13" s="3" t="inlineStr">
        <is>
          <t>Emma Wilson</t>
        </is>
      </c>
      <c r="D13" s="3" t="inlineStr">
        <is>
          <t>UK Trade Office</t>
        </is>
      </c>
      <c r="E13" s="3" t="inlineStr">
        <is>
          <t>+44-20-7123-4567</t>
        </is>
      </c>
      <c r="F13" s="3" t="inlineStr">
        <is>
          <t>emma.wilson@trade.gov.uk</t>
        </is>
      </c>
      <c r="G13" s="3" t="inlineStr">
        <is>
          <t>CEO</t>
        </is>
      </c>
      <c r="H13" s="3" t="inlineStr">
        <is>
          <t>Management</t>
        </is>
      </c>
      <c r="I13" s="3" t="inlineStr">
        <is>
          <t>Trade Relations Meeting</t>
        </is>
      </c>
      <c r="J13" s="2" t="inlineStr">
        <is>
          <t>2026-02-16 15:00:00</t>
        </is>
      </c>
      <c r="K13" s="2" t="inlineStr">
        <is>
          <t>2026-02-16 17:00:00</t>
        </is>
      </c>
      <c r="L13" s="2" t="inlineStr">
        <is>
          <t>02:00</t>
        </is>
      </c>
      <c r="M13" s="2" t="inlineStr">
        <is>
          <t>Checked Out</t>
        </is>
      </c>
      <c r="N13" s="3" t="inlineStr">
        <is>
          <t>VIP - Diplomatic visit</t>
        </is>
      </c>
      <c r="O13" s="3" t="inlineStr">
        <is>
          <t>Passport</t>
        </is>
      </c>
      <c r="P13" s="3" t="inlineStr">
        <is>
          <t>GB123456</t>
        </is>
      </c>
    </row>
    <row r="14">
      <c r="A14" s="2" t="inlineStr">
        <is>
          <t>2026-02-15</t>
        </is>
      </c>
      <c r="B14" s="3" t="inlineStr">
        <is>
          <t>V-20260215-1001</t>
        </is>
      </c>
      <c r="C14" s="3" t="inlineStr">
        <is>
          <t>Ali Hassan</t>
        </is>
      </c>
      <c r="D14" s="3" t="inlineStr">
        <is>
          <t>Consulting Group</t>
        </is>
      </c>
      <c r="E14" s="3" t="inlineStr">
        <is>
          <t>+974-5512-3456</t>
        </is>
      </c>
      <c r="F14" s="3" t="inlineStr">
        <is>
          <t>ali.h@consulting.qa</t>
        </is>
      </c>
      <c r="G14" s="3" t="inlineStr">
        <is>
          <t>Finance Manager</t>
        </is>
      </c>
      <c r="H14" s="3" t="inlineStr">
        <is>
          <t>Finance</t>
        </is>
      </c>
      <c r="I14" s="3" t="inlineStr">
        <is>
          <t>Budget Review</t>
        </is>
      </c>
      <c r="J14" s="2" t="inlineStr">
        <is>
          <t>2026-02-15 09:30:00</t>
        </is>
      </c>
      <c r="K14" s="2" t="inlineStr">
        <is>
          <t>2026-02-15 11:00:00</t>
        </is>
      </c>
      <c r="L14" s="2" t="inlineStr">
        <is>
          <t>01:30</t>
        </is>
      </c>
      <c r="M14" s="2" t="inlineStr">
        <is>
          <t>Checked Out</t>
        </is>
      </c>
      <c r="N14" s="3" t="inlineStr">
        <is>
          <t>Q1 Budget planning</t>
        </is>
      </c>
      <c r="O14" s="3" t="inlineStr">
        <is>
          <t>National ID</t>
        </is>
      </c>
      <c r="P14" s="3" t="inlineStr">
        <is>
          <t>28401234</t>
        </is>
      </c>
    </row>
    <row r="15">
      <c r="A15" s="2" t="inlineStr">
        <is>
          <t>2026-02-15</t>
        </is>
      </c>
      <c r="B15" s="3" t="inlineStr">
        <is>
          <t>V-20260215-1002</t>
        </is>
      </c>
      <c r="C15" s="3" t="inlineStr">
        <is>
          <t>Maryam Ahmed</t>
        </is>
      </c>
      <c r="D15" s="3" t="inlineStr">
        <is>
          <t>HR Solutions</t>
        </is>
      </c>
      <c r="E15" s="3" t="inlineStr">
        <is>
          <t>+974-3378-9012</t>
        </is>
      </c>
      <c r="F15" s="3" t="inlineStr">
        <is>
          <t>maryam.a@hrsol.qa</t>
        </is>
      </c>
      <c r="G15" s="3" t="inlineStr">
        <is>
          <t>HR Manager</t>
        </is>
      </c>
      <c r="H15" s="3" t="inlineStr">
        <is>
          <t>HR</t>
        </is>
      </c>
      <c r="I15" s="3" t="inlineStr">
        <is>
          <t>Employee Benefits Discussion</t>
        </is>
      </c>
      <c r="J15" s="2" t="inlineStr">
        <is>
          <t>2026-02-15 10:00:00</t>
        </is>
      </c>
      <c r="K15" s="2" t="inlineStr">
        <is>
          <t>2026-02-15 11:30:00</t>
        </is>
      </c>
      <c r="L15" s="2" t="inlineStr">
        <is>
          <t>01:30</t>
        </is>
      </c>
      <c r="M15" s="2" t="inlineStr">
        <is>
          <t>Checked Out</t>
        </is>
      </c>
      <c r="N15" s="3" t="inlineStr">
        <is>
          <t>Insurance proposal</t>
        </is>
      </c>
      <c r="O15" s="3" t="inlineStr">
        <is>
          <t>National ID</t>
        </is>
      </c>
      <c r="P15" s="3" t="inlineStr">
        <is>
          <t>29301234</t>
        </is>
      </c>
    </row>
    <row r="16">
      <c r="A16" s="2" t="inlineStr">
        <is>
          <t>2026-02-15</t>
        </is>
      </c>
      <c r="B16" s="3" t="inlineStr">
        <is>
          <t>V-20260215-1003</t>
        </is>
      </c>
      <c r="C16" s="3" t="inlineStr">
        <is>
          <t>Robert Taylor</t>
        </is>
      </c>
      <c r="D16" s="3" t="inlineStr">
        <is>
          <t>IBM Middle East</t>
        </is>
      </c>
      <c r="E16" s="3" t="inlineStr">
        <is>
          <t>+971-4-123-4567</t>
        </is>
      </c>
      <c r="F16" s="3" t="inlineStr">
        <is>
          <t>robert.taylor@ibm.com</t>
        </is>
      </c>
      <c r="G16" s="3" t="inlineStr">
        <is>
          <t>IT Director</t>
        </is>
      </c>
      <c r="H16" s="3" t="inlineStr">
        <is>
          <t>IT</t>
        </is>
      </c>
      <c r="I16" s="3" t="inlineStr">
        <is>
          <t>SAP Implementation</t>
        </is>
      </c>
      <c r="J16" s="2" t="inlineStr">
        <is>
          <t>2026-02-15 13:00:00</t>
        </is>
      </c>
      <c r="K16" s="2" t="inlineStr">
        <is>
          <t>2026-02-15 17:00:00</t>
        </is>
      </c>
      <c r="L16" s="2" t="inlineStr">
        <is>
          <t>04:00</t>
        </is>
      </c>
      <c r="M16" s="2" t="inlineStr">
        <is>
          <t>Checked Out</t>
        </is>
      </c>
      <c r="N16" s="3" t="inlineStr">
        <is>
          <t>ERP system demo</t>
        </is>
      </c>
      <c r="O16" s="3" t="inlineStr">
        <is>
          <t>Passport</t>
        </is>
      </c>
      <c r="P16" s="3" t="inlineStr">
        <is>
          <t>US345678</t>
        </is>
      </c>
    </row>
    <row r="17">
      <c r="A17" s="2" t="inlineStr">
        <is>
          <t>2026-02-15</t>
        </is>
      </c>
      <c r="B17" s="3" t="inlineStr">
        <is>
          <t>V-20260215-1004</t>
        </is>
      </c>
      <c r="C17" s="3" t="inlineStr">
        <is>
          <t>Aisha Saleh</t>
        </is>
      </c>
      <c r="D17" s="3" t="inlineStr">
        <is>
          <t>Qatar Foundation</t>
        </is>
      </c>
      <c r="E17" s="3" t="inlineStr">
        <is>
          <t>+974-4456-7890</t>
        </is>
      </c>
      <c r="F17" s="3" t="inlineStr">
        <is>
          <t>aisha.s@qf.org.qa</t>
        </is>
      </c>
      <c r="G17" s="3" t="inlineStr">
        <is>
          <t>CEO</t>
        </is>
      </c>
      <c r="H17" s="3" t="inlineStr">
        <is>
          <t>Management</t>
        </is>
      </c>
      <c r="I17" s="3" t="inlineStr">
        <is>
          <t>CSR Partnership</t>
        </is>
      </c>
      <c r="J17" s="2" t="inlineStr">
        <is>
          <t>2026-02-15 14:00:00</t>
        </is>
      </c>
      <c r="K17" s="2" t="inlineStr">
        <is>
          <t>2026-02-15 15:30:00</t>
        </is>
      </c>
      <c r="L17" s="2" t="inlineStr">
        <is>
          <t>01:30</t>
        </is>
      </c>
      <c r="M17" s="2" t="inlineStr">
        <is>
          <t>Checked Out</t>
        </is>
      </c>
      <c r="N17" s="3" t="inlineStr">
        <is>
          <t>Community program discussion</t>
        </is>
      </c>
      <c r="O17" s="3" t="inlineStr">
        <is>
          <t>National ID</t>
        </is>
      </c>
      <c r="P17" s="3" t="inlineStr">
        <is>
          <t>28701234</t>
        </is>
      </c>
    </row>
    <row r="18">
      <c r="A18" s="2" t="inlineStr">
        <is>
          <t>2026-02-14</t>
        </is>
      </c>
      <c r="B18" s="3" t="inlineStr">
        <is>
          <t>V-20260214-1001</t>
        </is>
      </c>
      <c r="C18" s="3" t="inlineStr">
        <is>
          <t>Hassan Mahmoud</t>
        </is>
      </c>
      <c r="D18" s="3" t="inlineStr">
        <is>
          <t>Security Firm</t>
        </is>
      </c>
      <c r="E18" s="3" t="inlineStr">
        <is>
          <t>+974-5534-5678</t>
        </is>
      </c>
      <c r="F18" s="3" t="inlineStr">
        <is>
          <t>hassan.m@security.qa</t>
        </is>
      </c>
      <c r="G18" s="3" t="inlineStr">
        <is>
          <t>Security Manager</t>
        </is>
      </c>
      <c r="H18" s="3" t="inlineStr">
        <is>
          <t>Management</t>
        </is>
      </c>
      <c r="I18" s="3" t="inlineStr">
        <is>
          <t>Security Assessment</t>
        </is>
      </c>
      <c r="J18" s="2" t="inlineStr">
        <is>
          <t>2026-02-14 09:00:00</t>
        </is>
      </c>
      <c r="K18" s="2" t="inlineStr">
        <is>
          <t>2026-02-14 12:00:00</t>
        </is>
      </c>
      <c r="L18" s="2" t="inlineStr">
        <is>
          <t>03:00</t>
        </is>
      </c>
      <c r="M18" s="2" t="inlineStr">
        <is>
          <t>Checked Out</t>
        </is>
      </c>
      <c r="N18" s="3" t="inlineStr">
        <is>
          <t>Facility security audit</t>
        </is>
      </c>
      <c r="O18" s="3" t="inlineStr">
        <is>
          <t>National ID</t>
        </is>
      </c>
      <c r="P18" s="3" t="inlineStr">
        <is>
          <t>27801234</t>
        </is>
      </c>
    </row>
    <row r="19">
      <c r="A19" s="2" t="inlineStr">
        <is>
          <t>2026-02-14</t>
        </is>
      </c>
      <c r="B19" s="3" t="inlineStr">
        <is>
          <t>V-20260214-1002</t>
        </is>
      </c>
      <c r="C19" s="3" t="inlineStr">
        <is>
          <t>Sophie Martin</t>
        </is>
      </c>
      <c r="D19" s="3" t="inlineStr">
        <is>
          <t>French Embassy</t>
        </is>
      </c>
      <c r="E19" s="3" t="inlineStr">
        <is>
          <t>+974-4423-4567</t>
        </is>
      </c>
      <c r="F19" s="3" t="inlineStr">
        <is>
          <t>sophie.martin@diplomatie.gouv.fr</t>
        </is>
      </c>
      <c r="G19" s="3" t="inlineStr">
        <is>
          <t>CEO</t>
        </is>
      </c>
      <c r="H19" s="3" t="inlineStr">
        <is>
          <t>Management</t>
        </is>
      </c>
      <c r="I19" s="3" t="inlineStr">
        <is>
          <t>Diplomatic Visit</t>
        </is>
      </c>
      <c r="J19" s="2" t="inlineStr">
        <is>
          <t>2026-02-14 11:00:00</t>
        </is>
      </c>
      <c r="K19" s="2" t="inlineStr">
        <is>
          <t>2026-02-14 13:00:00</t>
        </is>
      </c>
      <c r="L19" s="2" t="inlineStr">
        <is>
          <t>02:00</t>
        </is>
      </c>
      <c r="M19" s="2" t="inlineStr">
        <is>
          <t>Checked Out</t>
        </is>
      </c>
      <c r="N19" s="3" t="inlineStr">
        <is>
          <t>VIP - Government official</t>
        </is>
      </c>
      <c r="O19" s="3" t="inlineStr">
        <is>
          <t>Passport</t>
        </is>
      </c>
      <c r="P19" s="3" t="inlineStr">
        <is>
          <t>FR123456</t>
        </is>
      </c>
    </row>
    <row r="20">
      <c r="A20" s="2" t="inlineStr">
        <is>
          <t>2026-02-14</t>
        </is>
      </c>
      <c r="B20" s="3" t="inlineStr">
        <is>
          <t>V-20260214-1003</t>
        </is>
      </c>
      <c r="C20" s="3" t="inlineStr">
        <is>
          <t>Yousef Al-Mansoori</t>
        </is>
      </c>
      <c r="D20" s="3" t="inlineStr">
        <is>
          <t>Qatar Chamber</t>
        </is>
      </c>
      <c r="E20" s="3" t="inlineStr">
        <is>
          <t>+974-4445-6789</t>
        </is>
      </c>
      <c r="F20" s="3" t="inlineStr">
        <is>
          <t>yousef.m@qatarchamber.qa</t>
        </is>
      </c>
      <c r="G20" s="3" t="inlineStr">
        <is>
          <t>Business Development</t>
        </is>
      </c>
      <c r="H20" s="3" t="inlineStr">
        <is>
          <t>Management</t>
        </is>
      </c>
      <c r="I20" s="3" t="inlineStr">
        <is>
          <t>Business Networking</t>
        </is>
      </c>
      <c r="J20" s="2" t="inlineStr">
        <is>
          <t>2026-02-14 14:00:00</t>
        </is>
      </c>
      <c r="K20" s="2" t="inlineStr">
        <is>
          <t>2026-02-14 16:00:00</t>
        </is>
      </c>
      <c r="L20" s="2" t="inlineStr">
        <is>
          <t>02:00</t>
        </is>
      </c>
      <c r="M20" s="2" t="inlineStr">
        <is>
          <t>Checked Out</t>
        </is>
      </c>
      <c r="N20" s="3" t="inlineStr">
        <is>
          <t>Partnership opportunities</t>
        </is>
      </c>
      <c r="O20" s="3" t="inlineStr">
        <is>
          <t>National ID</t>
        </is>
      </c>
      <c r="P20" s="3" t="inlineStr">
        <is>
          <t>28201234</t>
        </is>
      </c>
    </row>
    <row r="21">
      <c r="A21" s="2" t="inlineStr">
        <is>
          <t>2026-02-14</t>
        </is>
      </c>
      <c r="B21" s="3" t="inlineStr">
        <is>
          <t>V-20260214-1004</t>
        </is>
      </c>
      <c r="C21" s="3" t="inlineStr">
        <is>
          <t>Anna Kowalski</t>
        </is>
      </c>
      <c r="D21" s="3" t="inlineStr">
        <is>
          <t>Oracle EMEA</t>
        </is>
      </c>
      <c r="E21" s="3" t="inlineStr">
        <is>
          <t>+48-22-123-4567</t>
        </is>
      </c>
      <c r="F21" s="3" t="inlineStr">
        <is>
          <t>anna.k@oracle.com</t>
        </is>
      </c>
      <c r="G21" s="3" t="inlineStr">
        <is>
          <t>IT Director</t>
        </is>
      </c>
      <c r="H21" s="3" t="inlineStr">
        <is>
          <t>IT</t>
        </is>
      </c>
      <c r="I21" s="3" t="inlineStr">
        <is>
          <t>Database Optimization</t>
        </is>
      </c>
      <c r="J21" s="2" t="inlineStr">
        <is>
          <t>2026-02-14 15:00:00</t>
        </is>
      </c>
      <c r="K21" s="2" t="inlineStr">
        <is>
          <t>2026-02-14 18:00:00</t>
        </is>
      </c>
      <c r="L21" s="2" t="inlineStr">
        <is>
          <t>03:00</t>
        </is>
      </c>
      <c r="M21" s="2" t="inlineStr">
        <is>
          <t>Checked Out</t>
        </is>
      </c>
      <c r="N21" s="3" t="inlineStr">
        <is>
          <t>Performance tuning session</t>
        </is>
      </c>
      <c r="O21" s="3" t="inlineStr">
        <is>
          <t>Passport</t>
        </is>
      </c>
      <c r="P21" s="3" t="inlineStr">
        <is>
          <t>PL234567</t>
        </is>
      </c>
    </row>
    <row r="22">
      <c r="A22" s="2" t="inlineStr">
        <is>
          <t>2026-02-13</t>
        </is>
      </c>
      <c r="B22" s="3" t="inlineStr">
        <is>
          <t>V-20260213-1001</t>
        </is>
      </c>
      <c r="C22" s="3" t="inlineStr">
        <is>
          <t>Abdullah Saeed</t>
        </is>
      </c>
      <c r="D22" s="3" t="inlineStr">
        <is>
          <t>Training Institute</t>
        </is>
      </c>
      <c r="E22" s="3" t="inlineStr">
        <is>
          <t>+974-3312-3456</t>
        </is>
      </c>
      <c r="F22" s="3" t="inlineStr">
        <is>
          <t>abdullah.s@training.qa</t>
        </is>
      </c>
      <c r="G22" s="3" t="inlineStr">
        <is>
          <t>HR Manager</t>
        </is>
      </c>
      <c r="H22" s="3" t="inlineStr">
        <is>
          <t>HR</t>
        </is>
      </c>
      <c r="I22" s="3" t="inlineStr">
        <is>
          <t>Corporate Training Proposal</t>
        </is>
      </c>
      <c r="J22" s="2" t="inlineStr">
        <is>
          <t>2026-02-13 09:00:00</t>
        </is>
      </c>
      <c r="K22" s="2" t="inlineStr">
        <is>
          <t>2026-02-13 10:30:00</t>
        </is>
      </c>
      <c r="L22" s="2" t="inlineStr">
        <is>
          <t>01:30</t>
        </is>
      </c>
      <c r="M22" s="2" t="inlineStr">
        <is>
          <t>Checked Out</t>
        </is>
      </c>
      <c r="N22" s="3" t="inlineStr">
        <is>
          <t>Professional development programs</t>
        </is>
      </c>
      <c r="O22" s="3" t="inlineStr">
        <is>
          <t>National ID</t>
        </is>
      </c>
      <c r="P22" s="3" t="inlineStr">
        <is>
          <t>29001234</t>
        </is>
      </c>
    </row>
    <row r="23">
      <c r="A23" s="2" t="inlineStr">
        <is>
          <t>2026-02-13</t>
        </is>
      </c>
      <c r="B23" s="3" t="inlineStr">
        <is>
          <t>V-20260213-1002</t>
        </is>
      </c>
      <c r="C23" s="3" t="inlineStr">
        <is>
          <t>Jennifer Lee</t>
        </is>
      </c>
      <c r="D23" s="3" t="inlineStr">
        <is>
          <t>Salesforce Qatar</t>
        </is>
      </c>
      <c r="E23" s="3" t="inlineStr">
        <is>
          <t>+974-5523-4567</t>
        </is>
      </c>
      <c r="F23" s="3" t="inlineStr">
        <is>
          <t>jennifer.lee@salesforce.com</t>
        </is>
      </c>
      <c r="G23" s="3" t="inlineStr">
        <is>
          <t>Sales Manager</t>
        </is>
      </c>
      <c r="H23" s="3" t="inlineStr">
        <is>
          <t>Management</t>
        </is>
      </c>
      <c r="I23" s="3" t="inlineStr">
        <is>
          <t>CRM System Demo</t>
        </is>
      </c>
      <c r="J23" s="2" t="inlineStr">
        <is>
          <t>2026-02-13 10:00:00</t>
        </is>
      </c>
      <c r="K23" s="2" t="inlineStr">
        <is>
          <t>2026-02-13 12:00:00</t>
        </is>
      </c>
      <c r="L23" s="2" t="inlineStr">
        <is>
          <t>02:00</t>
        </is>
      </c>
      <c r="M23" s="2" t="inlineStr">
        <is>
          <t>Checked Out</t>
        </is>
      </c>
      <c r="N23" s="3" t="inlineStr">
        <is>
          <t>Cloud CRM presentation</t>
        </is>
      </c>
      <c r="O23" s="3" t="inlineStr">
        <is>
          <t>Passport</t>
        </is>
      </c>
      <c r="P23" s="3" t="inlineStr">
        <is>
          <t>US567890</t>
        </is>
      </c>
    </row>
    <row r="24">
      <c r="A24" s="2" t="inlineStr">
        <is>
          <t>2026-02-13</t>
        </is>
      </c>
      <c r="B24" s="3" t="inlineStr">
        <is>
          <t>V-20260213-1003</t>
        </is>
      </c>
      <c r="C24" s="3" t="inlineStr">
        <is>
          <t>Tariq Abdullah</t>
        </is>
      </c>
      <c r="D24" s="3" t="inlineStr">
        <is>
          <t>Legal Firm</t>
        </is>
      </c>
      <c r="E24" s="3" t="inlineStr">
        <is>
          <t>+974-4434-5678</t>
        </is>
      </c>
      <c r="F24" s="3" t="inlineStr">
        <is>
          <t>tariq.a@legal.qa</t>
        </is>
      </c>
      <c r="G24" s="3" t="inlineStr">
        <is>
          <t>CEO</t>
        </is>
      </c>
      <c r="H24" s="3" t="inlineStr">
        <is>
          <t>Management</t>
        </is>
      </c>
      <c r="I24" s="3" t="inlineStr">
        <is>
          <t>Legal Consultation</t>
        </is>
      </c>
      <c r="J24" s="2" t="inlineStr">
        <is>
          <t>2026-02-13 13:00:00</t>
        </is>
      </c>
      <c r="K24" s="2" t="inlineStr">
        <is>
          <t>2026-02-13 14:30:00</t>
        </is>
      </c>
      <c r="L24" s="2" t="inlineStr">
        <is>
          <t>01:30</t>
        </is>
      </c>
      <c r="M24" s="2" t="inlineStr">
        <is>
          <t>Checked Out</t>
        </is>
      </c>
      <c r="N24" s="3" t="inlineStr">
        <is>
          <t>Contract review</t>
        </is>
      </c>
      <c r="O24" s="3" t="inlineStr">
        <is>
          <t>National ID</t>
        </is>
      </c>
      <c r="P24" s="3" t="inlineStr">
        <is>
          <t>27701234</t>
        </is>
      </c>
    </row>
    <row r="25">
      <c r="A25" s="2" t="inlineStr">
        <is>
          <t>2026-02-13</t>
        </is>
      </c>
      <c r="B25" s="3" t="inlineStr">
        <is>
          <t>V-20260213-1004</t>
        </is>
      </c>
      <c r="C25" s="3" t="inlineStr">
        <is>
          <t>Maria Garcia</t>
        </is>
      </c>
      <c r="D25" s="3" t="inlineStr">
        <is>
          <t>Spanish Chamber</t>
        </is>
      </c>
      <c r="E25" s="3" t="inlineStr">
        <is>
          <t>+34-91-123-4567</t>
        </is>
      </c>
      <c r="F25" s="3" t="inlineStr">
        <is>
          <t>maria.garcia@camara.es</t>
        </is>
      </c>
      <c r="G25" s="3" t="inlineStr">
        <is>
          <t>Business Development</t>
        </is>
      </c>
      <c r="H25" s="3" t="inlineStr">
        <is>
          <t>Management</t>
        </is>
      </c>
      <c r="I25" s="3" t="inlineStr">
        <is>
          <t>Trade Mission</t>
        </is>
      </c>
      <c r="J25" s="2" t="inlineStr">
        <is>
          <t>2026-02-13 15:00:00</t>
        </is>
      </c>
      <c r="K25" s="2" t="inlineStr">
        <is>
          <t>2026-02-13 17:00:00</t>
        </is>
      </c>
      <c r="L25" s="2" t="inlineStr">
        <is>
          <t>02:00</t>
        </is>
      </c>
      <c r="M25" s="2" t="inlineStr">
        <is>
          <t>Checked Out</t>
        </is>
      </c>
      <c r="N25" s="3" t="inlineStr">
        <is>
          <t>Export opportunities</t>
        </is>
      </c>
      <c r="O25" s="3" t="inlineStr">
        <is>
          <t>Passport</t>
        </is>
      </c>
      <c r="P25" s="3" t="inlineStr">
        <is>
          <t>ES123456</t>
        </is>
      </c>
    </row>
    <row r="26">
      <c r="A26" s="2" t="inlineStr">
        <is>
          <t>2026-02-12</t>
        </is>
      </c>
      <c r="B26" s="3" t="inlineStr">
        <is>
          <t>V-20260212-1001</t>
        </is>
      </c>
      <c r="C26" s="3" t="inlineStr">
        <is>
          <t>Rashid Al-Kuwari</t>
        </is>
      </c>
      <c r="D26" s="3" t="inlineStr">
        <is>
          <t>Qatar Electricity</t>
        </is>
      </c>
      <c r="E26" s="3" t="inlineStr">
        <is>
          <t>+974-4456-7890</t>
        </is>
      </c>
      <c r="F26" s="3" t="inlineStr">
        <is>
          <t>rashid.k@qe.gov.qa</t>
        </is>
      </c>
      <c r="G26" s="3" t="inlineStr">
        <is>
          <t>Facilities Manager</t>
        </is>
      </c>
      <c r="H26" s="3" t="inlineStr">
        <is>
          <t>Operations</t>
        </is>
      </c>
      <c r="I26" s="3" t="inlineStr">
        <is>
          <t>Power Supply Discussion</t>
        </is>
      </c>
      <c r="J26" s="2" t="inlineStr">
        <is>
          <t>2026-02-12 09:00:00</t>
        </is>
      </c>
      <c r="K26" s="2" t="inlineStr">
        <is>
          <t>2026-02-12 10:00:00</t>
        </is>
      </c>
      <c r="L26" s="2" t="inlineStr">
        <is>
          <t>01:00</t>
        </is>
      </c>
      <c r="M26" s="2" t="inlineStr">
        <is>
          <t>Checked Out</t>
        </is>
      </c>
      <c r="N26" s="3" t="inlineStr">
        <is>
          <t>Backup generator planning</t>
        </is>
      </c>
      <c r="O26" s="3" t="inlineStr">
        <is>
          <t>National ID</t>
        </is>
      </c>
      <c r="P26" s="3" t="inlineStr">
        <is>
          <t>28301234</t>
        </is>
      </c>
    </row>
    <row r="27">
      <c r="A27" s="2" t="inlineStr">
        <is>
          <t>2026-02-12</t>
        </is>
      </c>
      <c r="B27" s="3" t="inlineStr">
        <is>
          <t>V-20260212-1002</t>
        </is>
      </c>
      <c r="C27" s="3" t="inlineStr">
        <is>
          <t>Thomas Anderson</t>
        </is>
      </c>
      <c r="D27" s="3" t="inlineStr">
        <is>
          <t>Cisco Systems</t>
        </is>
      </c>
      <c r="E27" s="3" t="inlineStr">
        <is>
          <t>+1-408-123-4567</t>
        </is>
      </c>
      <c r="F27" s="3" t="inlineStr">
        <is>
          <t>thomas.anderson@cisco.com</t>
        </is>
      </c>
      <c r="G27" s="3" t="inlineStr">
        <is>
          <t>Network Engineer</t>
        </is>
      </c>
      <c r="H27" s="3" t="inlineStr">
        <is>
          <t>IT</t>
        </is>
      </c>
      <c r="I27" s="3" t="inlineStr">
        <is>
          <t>Router Configuration Support</t>
        </is>
      </c>
      <c r="J27" s="2" t="inlineStr">
        <is>
          <t>2026-02-12 10:00:00</t>
        </is>
      </c>
      <c r="K27" s="2" t="inlineStr">
        <is>
          <t>2026-02-12 15:00:00</t>
        </is>
      </c>
      <c r="L27" s="2" t="inlineStr">
        <is>
          <t>05:00</t>
        </is>
      </c>
      <c r="M27" s="2" t="inlineStr">
        <is>
          <t>Checked Out</t>
        </is>
      </c>
      <c r="N27" s="3" t="inlineStr">
        <is>
          <t>Technical training day</t>
        </is>
      </c>
      <c r="O27" s="3" t="inlineStr">
        <is>
          <t>Passport</t>
        </is>
      </c>
      <c r="P27" s="3" t="inlineStr">
        <is>
          <t>US678901</t>
        </is>
      </c>
    </row>
    <row r="28">
      <c r="A28" s="2" t="inlineStr">
        <is>
          <t>2026-02-12</t>
        </is>
      </c>
      <c r="B28" s="3" t="inlineStr">
        <is>
          <t>V-20260212-1003</t>
        </is>
      </c>
      <c r="C28" s="3" t="inlineStr">
        <is>
          <t>Laila Ibrahim</t>
        </is>
      </c>
      <c r="D28" s="3" t="inlineStr">
        <is>
          <t>Marketing Agency</t>
        </is>
      </c>
      <c r="E28" s="3" t="inlineStr">
        <is>
          <t>+974-5545-6789</t>
        </is>
      </c>
      <c r="F28" s="3" t="inlineStr">
        <is>
          <t>laila.i@marketing.qa</t>
        </is>
      </c>
      <c r="G28" s="3" t="inlineStr">
        <is>
          <t>Marketing Manager</t>
        </is>
      </c>
      <c r="H28" s="3" t="inlineStr">
        <is>
          <t>Management</t>
        </is>
      </c>
      <c r="I28" s="3" t="inlineStr">
        <is>
          <t>Branding Consultation</t>
        </is>
      </c>
      <c r="J28" s="2" t="inlineStr">
        <is>
          <t>2026-02-12 13:00:00</t>
        </is>
      </c>
      <c r="K28" s="2" t="inlineStr">
        <is>
          <t>2026-02-12 15:00:00</t>
        </is>
      </c>
      <c r="L28" s="2" t="inlineStr">
        <is>
          <t>02:00</t>
        </is>
      </c>
      <c r="M28" s="2" t="inlineStr">
        <is>
          <t>Checked Out</t>
        </is>
      </c>
      <c r="N28" s="3" t="inlineStr">
        <is>
          <t>Corporate identity review</t>
        </is>
      </c>
      <c r="O28" s="3" t="inlineStr">
        <is>
          <t>National ID</t>
        </is>
      </c>
      <c r="P28" s="3" t="inlineStr">
        <is>
          <t>29401234</t>
        </is>
      </c>
    </row>
    <row r="29">
      <c r="A29" s="2" t="inlineStr">
        <is>
          <t>2026-02-12</t>
        </is>
      </c>
      <c r="B29" s="3" t="inlineStr">
        <is>
          <t>V-20260212-1004</t>
        </is>
      </c>
      <c r="C29" s="3" t="inlineStr">
        <is>
          <t>Peter Schmidt</t>
        </is>
      </c>
      <c r="D29" s="3" t="inlineStr">
        <is>
          <t>SAP Germany</t>
        </is>
      </c>
      <c r="E29" s="3" t="inlineStr">
        <is>
          <t>+49-6227-7-12345</t>
        </is>
      </c>
      <c r="F29" s="3" t="inlineStr">
        <is>
          <t>peter.schmidt@sap.com</t>
        </is>
      </c>
      <c r="G29" s="3" t="inlineStr">
        <is>
          <t>IT Director</t>
        </is>
      </c>
      <c r="H29" s="3" t="inlineStr">
        <is>
          <t>IT</t>
        </is>
      </c>
      <c r="I29" s="3" t="inlineStr">
        <is>
          <t>S/4HANA Implementation</t>
        </is>
      </c>
      <c r="J29" s="2" t="inlineStr">
        <is>
          <t>2026-02-12 14:00:00</t>
        </is>
      </c>
      <c r="K29" s="2" t="inlineStr">
        <is>
          <t>2026-02-12 18:00:00</t>
        </is>
      </c>
      <c r="L29" s="2" t="inlineStr">
        <is>
          <t>04:00</t>
        </is>
      </c>
      <c r="M29" s="2" t="inlineStr">
        <is>
          <t>Checked Out</t>
        </is>
      </c>
      <c r="N29" s="3" t="inlineStr">
        <is>
          <t>ERP migration planning</t>
        </is>
      </c>
      <c r="O29" s="3" t="inlineStr">
        <is>
          <t>Passport</t>
        </is>
      </c>
      <c r="P29" s="3" t="inlineStr">
        <is>
          <t>DE234567</t>
        </is>
      </c>
    </row>
    <row r="30">
      <c r="A30" s="2" t="inlineStr">
        <is>
          <t>2026-02-11</t>
        </is>
      </c>
      <c r="B30" s="3" t="inlineStr">
        <is>
          <t>V-20260211-1001</t>
        </is>
      </c>
      <c r="C30" s="3" t="inlineStr">
        <is>
          <t>Huda Al-Mannai</t>
        </is>
      </c>
      <c r="D30" s="3" t="inlineStr">
        <is>
          <t>Insurance Company</t>
        </is>
      </c>
      <c r="E30" s="3" t="inlineStr">
        <is>
          <t>+974-4467-8901</t>
        </is>
      </c>
      <c r="F30" s="3" t="inlineStr">
        <is>
          <t>huda.m@insurance.qa</t>
        </is>
      </c>
      <c r="G30" s="3" t="inlineStr">
        <is>
          <t>Finance Manager</t>
        </is>
      </c>
      <c r="H30" s="3" t="inlineStr">
        <is>
          <t>Finance</t>
        </is>
      </c>
      <c r="I30" s="3" t="inlineStr">
        <is>
          <t>Corporate Insurance Review</t>
        </is>
      </c>
      <c r="J30" s="2" t="inlineStr">
        <is>
          <t>2026-02-11 09:00:00</t>
        </is>
      </c>
      <c r="K30" s="2" t="inlineStr">
        <is>
          <t>2026-02-11 11:00:00</t>
        </is>
      </c>
      <c r="L30" s="2" t="inlineStr">
        <is>
          <t>02:00</t>
        </is>
      </c>
      <c r="M30" s="2" t="inlineStr">
        <is>
          <t>Checked Out</t>
        </is>
      </c>
      <c r="N30" s="3" t="inlineStr">
        <is>
          <t>Annual policy renewal</t>
        </is>
      </c>
      <c r="O30" s="3" t="inlineStr">
        <is>
          <t>National ID</t>
        </is>
      </c>
      <c r="P30" s="3" t="inlineStr">
        <is>
          <t>28601234</t>
        </is>
      </c>
    </row>
    <row r="31">
      <c r="A31" s="2" t="inlineStr">
        <is>
          <t>2026-02-11</t>
        </is>
      </c>
      <c r="B31" s="3" t="inlineStr">
        <is>
          <t>V-20260211-1002</t>
        </is>
      </c>
      <c r="C31" s="3" t="inlineStr">
        <is>
          <t>Michael Brown</t>
        </is>
      </c>
      <c r="D31" s="3" t="inlineStr">
        <is>
          <t>Amazon Web Services</t>
        </is>
      </c>
      <c r="E31" s="3" t="inlineStr">
        <is>
          <t>+1-206-123-4567</t>
        </is>
      </c>
      <c r="F31" s="3" t="inlineStr">
        <is>
          <t>michael.brown@aws.com</t>
        </is>
      </c>
      <c r="G31" s="3" t="inlineStr">
        <is>
          <t>IT Director</t>
        </is>
      </c>
      <c r="H31" s="3" t="inlineStr">
        <is>
          <t>IT</t>
        </is>
      </c>
      <c r="I31" s="3" t="inlineStr">
        <is>
          <t>Cloud Architecture Review</t>
        </is>
      </c>
      <c r="J31" s="2" t="inlineStr">
        <is>
          <t>2026-02-11 10:00:00</t>
        </is>
      </c>
      <c r="K31" s="2" t="inlineStr">
        <is>
          <t>2026-02-11 16:00:00</t>
        </is>
      </c>
      <c r="L31" s="2" t="inlineStr">
        <is>
          <t>06:00</t>
        </is>
      </c>
      <c r="M31" s="2" t="inlineStr">
        <is>
          <t>Checked Out</t>
        </is>
      </c>
      <c r="N31" s="3" t="inlineStr">
        <is>
          <t>Full day AWS workshop</t>
        </is>
      </c>
      <c r="O31" s="3" t="inlineStr">
        <is>
          <t>Passport</t>
        </is>
      </c>
      <c r="P31" s="3" t="inlineStr">
        <is>
          <t>US789012</t>
        </is>
      </c>
    </row>
    <row r="32">
      <c r="A32" s="2" t="inlineStr">
        <is>
          <t>2026-02-11</t>
        </is>
      </c>
      <c r="B32" s="3" t="inlineStr">
        <is>
          <t>V-20260211-1003</t>
        </is>
      </c>
      <c r="C32" s="3" t="inlineStr">
        <is>
          <t>Noura Hassan</t>
        </is>
      </c>
      <c r="D32" s="3" t="inlineStr">
        <is>
          <t>PR Agency</t>
        </is>
      </c>
      <c r="E32" s="3" t="inlineStr">
        <is>
          <t>+974-3356-7890</t>
        </is>
      </c>
      <c r="F32" s="3" t="inlineStr">
        <is>
          <t>noura.h@pr.qa</t>
        </is>
      </c>
      <c r="G32" s="3" t="inlineStr">
        <is>
          <t>Marketing Manager</t>
        </is>
      </c>
      <c r="H32" s="3" t="inlineStr">
        <is>
          <t>Management</t>
        </is>
      </c>
      <c r="I32" s="3" t="inlineStr">
        <is>
          <t>Media Relations</t>
        </is>
      </c>
      <c r="J32" s="2" t="inlineStr">
        <is>
          <t>2026-02-11 14:00:00</t>
        </is>
      </c>
      <c r="K32" s="2" t="inlineStr">
        <is>
          <t>2026-02-11 15:30:00</t>
        </is>
      </c>
      <c r="L32" s="2" t="inlineStr">
        <is>
          <t>01:30</t>
        </is>
      </c>
      <c r="M32" s="2" t="inlineStr">
        <is>
          <t>Checked Out</t>
        </is>
      </c>
      <c r="N32" s="3" t="inlineStr">
        <is>
          <t>Press release planning</t>
        </is>
      </c>
      <c r="O32" s="3" t="inlineStr">
        <is>
          <t>National ID</t>
        </is>
      </c>
      <c r="P32" s="3" t="inlineStr">
        <is>
          <t>29501234</t>
        </is>
      </c>
    </row>
    <row r="33">
      <c r="L33">
        <f>IF(K33="","",TEXT(K33-J33,"[h]:mm"))</f>
        <v/>
      </c>
    </row>
    <row r="34">
      <c r="L34">
        <f>IF(K34="","",TEXT(K34-J34,"[h]:mm"))</f>
        <v/>
      </c>
    </row>
    <row r="35">
      <c r="L35">
        <f>IF(K35="","",TEXT(K35-J35,"[h]:mm"))</f>
        <v/>
      </c>
    </row>
    <row r="36">
      <c r="L36">
        <f>IF(K36="","",TEXT(K36-J36,"[h]:mm"))</f>
        <v/>
      </c>
    </row>
    <row r="37">
      <c r="L37">
        <f>IF(K37="","",TEXT(K37-J37,"[h]:mm"))</f>
        <v/>
      </c>
    </row>
    <row r="38">
      <c r="L38">
        <f>IF(K38="","",TEXT(K38-J38,"[h]:mm"))</f>
        <v/>
      </c>
    </row>
    <row r="39">
      <c r="L39">
        <f>IF(K39="","",TEXT(K39-J39,"[h]:mm"))</f>
        <v/>
      </c>
    </row>
    <row r="40">
      <c r="L40">
        <f>IF(K40="","",TEXT(K40-J40,"[h]:mm"))</f>
        <v/>
      </c>
    </row>
    <row r="41">
      <c r="L41">
        <f>IF(K41="","",TEXT(K41-J41,"[h]:mm"))</f>
        <v/>
      </c>
    </row>
    <row r="42">
      <c r="L42">
        <f>IF(K42="","",TEXT(K42-J42,"[h]:mm"))</f>
        <v/>
      </c>
    </row>
    <row r="43">
      <c r="L43">
        <f>IF(K43="","",TEXT(K43-J43,"[h]:mm"))</f>
        <v/>
      </c>
    </row>
    <row r="44">
      <c r="L44">
        <f>IF(K44="","",TEXT(K44-J44,"[h]:mm"))</f>
        <v/>
      </c>
    </row>
    <row r="45">
      <c r="L45">
        <f>IF(K45="","",TEXT(K45-J45,"[h]:mm"))</f>
        <v/>
      </c>
    </row>
    <row r="46">
      <c r="L46">
        <f>IF(K46="","",TEXT(K46-J46,"[h]:mm"))</f>
        <v/>
      </c>
    </row>
    <row r="47">
      <c r="L47">
        <f>IF(K47="","",TEXT(K47-J47,"[h]:mm"))</f>
        <v/>
      </c>
    </row>
    <row r="48">
      <c r="L48">
        <f>IF(K48="","",TEXT(K48-J48,"[h]:mm"))</f>
        <v/>
      </c>
    </row>
    <row r="49">
      <c r="L49">
        <f>IF(K49="","",TEXT(K49-J49,"[h]:mm"))</f>
        <v/>
      </c>
    </row>
  </sheetData>
  <conditionalFormatting sqref="M2:M1000">
    <cfRule type="cellIs" priority="1" operator="equal" dxfId="0">
      <formula>"Checked In"</formula>
    </cfRule>
    <cfRule type="cellIs" priority="2" operator="equal" dxfId="1">
      <formula>"Checked Out"</formula>
    </cfRule>
    <cfRule type="cellIs" priority="3" operator="equal" dxfId="2">
      <formula>"Cancelled"</formula>
    </cfRule>
  </conditionalFormatting>
  <conditionalFormatting sqref="L2:L1000">
    <cfRule type="colorScale" priority="4">
      <colorScale>
        <cfvo type="num" val="0"/>
        <cfvo type="num" val="2"/>
        <cfvo type="num" val="4"/>
        <color rgb="0063BE7B"/>
        <color rgb="00FFEB84"/>
        <color rgb="00F8696B"/>
      </colorScale>
    </cfRule>
  </conditionalFormatting>
  <dataValidations count="1">
    <dataValidation sqref="M2:M1000" showDropDown="0" showInputMessage="0" showErrorMessage="0" allowBlank="1" errorTitle="Invalid Status" error="Please select from the list" type="list">
      <formula1>"Checked In,Checked Out,Cancelled"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0" customWidth="1" min="4" max="4"/>
  </cols>
  <sheetData>
    <row r="1" ht="30" customHeight="1">
      <c r="A1" s="4" t="inlineStr">
        <is>
          <t>NABTATECH SOLUTIONS - MONTHLY VISITOR SUMMARY</t>
        </is>
      </c>
    </row>
    <row r="3">
      <c r="A3" s="5" t="inlineStr">
        <is>
          <t>Month:</t>
        </is>
      </c>
      <c r="B3" t="n">
        <v>2</v>
      </c>
      <c r="C3" s="5" t="inlineStr">
        <is>
          <t>Year:</t>
        </is>
      </c>
      <c r="D3" t="n">
        <v>2026</v>
      </c>
    </row>
    <row r="5">
      <c r="A5" s="6" t="inlineStr">
        <is>
          <t>KEY METRICS</t>
        </is>
      </c>
    </row>
    <row r="6">
      <c r="A6" s="7" t="inlineStr">
        <is>
          <t>Total Visitors:</t>
        </is>
      </c>
      <c r="B6" s="2">
        <f>COUNTIFS('Daily Visitor Log'!A:A,"&gt;="&amp;DATE(D3,B3,1),'Daily Visitor Log'!A:A,"&lt;"&amp;DATE(D3,B3+1,1))</f>
        <v/>
      </c>
    </row>
    <row r="7">
      <c r="A7" s="7" t="inlineStr">
        <is>
          <t>Average Daily Visitors:</t>
        </is>
      </c>
      <c r="B7" s="2">
        <f>IFERROR(B6/DAY(EOMONTH(DATE(D3,B3,1),0)),0)</f>
        <v/>
      </c>
    </row>
    <row r="8">
      <c r="A8" s="7" t="inlineStr">
        <is>
          <t>Unique Companies:</t>
        </is>
      </c>
      <c r="B8" s="2">
        <f>COUNTIF('Daily Visitor Log'!D:D,"&lt;&gt;"&amp;"")-1</f>
        <v/>
      </c>
    </row>
    <row r="9">
      <c r="A9" s="7" t="inlineStr">
        <is>
          <t>Most Visited Dept:</t>
        </is>
      </c>
      <c r="B9" s="2">
        <f>IFERROR(INDEX('Daily Visitor Log'!H:H,MATCH(MAX(COUNTIFS('Daily Visitor Log'!H:H,'Daily Visitor Log'!H:H,'Daily Visitor Log'!A:A,"&gt;="&amp;DATE(D3,B3,1),'Daily Visitor Log'!A:A,"&lt;"&amp;DATE(D3,B3+1,1))),COUNTIFS('Daily Visitor Log'!H:H,'Daily Visitor Log'!H:H,'Daily Visitor Log'!A:A,"&gt;="&amp;DATE(D3,B3,1),'Daily Visitor Log'!A:A,"&lt;"&amp;DATE(D3,B3+1,1)),0)),"N/A")</f>
        <v/>
      </c>
    </row>
    <row r="10">
      <c r="A10" s="7" t="inlineStr">
        <is>
          <t>Checked In Now:</t>
        </is>
      </c>
      <c r="B10" s="2">
        <f>COUNTIF('Daily Visitor Log'!M:M,"Checked In")</f>
        <v/>
      </c>
    </row>
    <row r="13">
      <c r="A13" s="6" t="inlineStr">
        <is>
          <t>DEPARTMENT BREAKDOWN</t>
        </is>
      </c>
    </row>
    <row r="14">
      <c r="A14" s="8" t="inlineStr">
        <is>
          <t>Department</t>
        </is>
      </c>
      <c r="B14" s="8" t="inlineStr">
        <is>
          <t>Visitors</t>
        </is>
      </c>
    </row>
    <row r="15">
      <c r="A15" s="9" t="inlineStr">
        <is>
          <t>IT</t>
        </is>
      </c>
      <c r="B15" s="9">
        <f>COUNTIF('Daily Visitor Log'!H:H,A15)</f>
        <v/>
      </c>
    </row>
    <row r="16">
      <c r="A16" s="9" t="inlineStr">
        <is>
          <t>HR</t>
        </is>
      </c>
      <c r="B16" s="9">
        <f>COUNTIF('Daily Visitor Log'!H:H,A16)</f>
        <v/>
      </c>
    </row>
    <row r="17">
      <c r="A17" s="9" t="inlineStr">
        <is>
          <t>Management</t>
        </is>
      </c>
      <c r="B17" s="9">
        <f>COUNTIF('Daily Visitor Log'!H:H,A17)</f>
        <v/>
      </c>
    </row>
    <row r="18">
      <c r="A18" s="9" t="inlineStr">
        <is>
          <t>Finance</t>
        </is>
      </c>
      <c r="B18" s="9">
        <f>COUNTIF('Daily Visitor Log'!H:H,A18)</f>
        <v/>
      </c>
    </row>
    <row r="19">
      <c r="A19" s="9" t="inlineStr">
        <is>
          <t>DevOps</t>
        </is>
      </c>
      <c r="B19" s="9">
        <f>COUNTIF('Daily Visitor Log'!H:H,A19)</f>
        <v/>
      </c>
    </row>
    <row r="20">
      <c r="A20" s="9" t="inlineStr">
        <is>
          <t>Operations</t>
        </is>
      </c>
      <c r="B20" s="9">
        <f>COUNTIF('Daily Visitor Log'!H:H,A20)</f>
        <v/>
      </c>
    </row>
    <row r="23">
      <c r="A23" s="6" t="inlineStr">
        <is>
          <t>DAILY VISITOR TREND</t>
        </is>
      </c>
    </row>
    <row r="24">
      <c r="A24" s="8" t="inlineStr">
        <is>
          <t>Date</t>
        </is>
      </c>
      <c r="B24" s="8" t="inlineStr">
        <is>
          <t>Visitors</t>
        </is>
      </c>
    </row>
    <row r="25">
      <c r="A25" s="9" t="inlineStr">
        <is>
          <t>2026-02-11</t>
        </is>
      </c>
      <c r="B25" s="9">
        <f>COUNTIF('Daily Visitor Log'!A:A,A25)</f>
        <v/>
      </c>
    </row>
    <row r="26">
      <c r="A26" s="9" t="inlineStr">
        <is>
          <t>2026-02-12</t>
        </is>
      </c>
      <c r="B26" s="9">
        <f>COUNTIF('Daily Visitor Log'!A:A,A26)</f>
        <v/>
      </c>
    </row>
    <row r="27">
      <c r="A27" s="9" t="inlineStr">
        <is>
          <t>2026-02-13</t>
        </is>
      </c>
      <c r="B27" s="9">
        <f>COUNTIF('Daily Visitor Log'!A:A,A27)</f>
        <v/>
      </c>
    </row>
    <row r="28">
      <c r="A28" s="9" t="inlineStr">
        <is>
          <t>2026-02-14</t>
        </is>
      </c>
      <c r="B28" s="9">
        <f>COUNTIF('Daily Visitor Log'!A:A,A28)</f>
        <v/>
      </c>
    </row>
    <row r="29">
      <c r="A29" s="9" t="inlineStr">
        <is>
          <t>2026-02-15</t>
        </is>
      </c>
      <c r="B29" s="9">
        <f>COUNTIF('Daily Visitor Log'!A:A,A29)</f>
        <v/>
      </c>
    </row>
    <row r="30">
      <c r="A30" s="9" t="inlineStr">
        <is>
          <t>2026-02-16</t>
        </is>
      </c>
      <c r="B30" s="9">
        <f>COUNTIF('Daily Visitor Log'!A:A,A30)</f>
        <v/>
      </c>
    </row>
    <row r="31">
      <c r="A31" s="9" t="inlineStr">
        <is>
          <t>2026-02-17</t>
        </is>
      </c>
      <c r="B31" s="9">
        <f>COUNTIF('Daily Visitor Log'!A:A,A31)</f>
        <v/>
      </c>
    </row>
    <row r="34">
      <c r="A34" s="6" t="inlineStr">
        <is>
          <t>TOP VISITING COMPANIES</t>
        </is>
      </c>
    </row>
    <row r="35">
      <c r="A35" s="8" t="inlineStr">
        <is>
          <t>Company</t>
        </is>
      </c>
      <c r="B35" s="8" t="inlineStr">
        <is>
          <t>Visits</t>
        </is>
      </c>
    </row>
    <row r="36">
      <c r="A36" s="9" t="inlineStr">
        <is>
          <t>Tech Solutions Ltd</t>
        </is>
      </c>
      <c r="B36" s="9" t="n">
        <v>1</v>
      </c>
    </row>
    <row r="37">
      <c r="A37" s="9" t="inlineStr">
        <is>
          <t>Al Jazeera Consulting</t>
        </is>
      </c>
      <c r="B37" s="9" t="n">
        <v>1</v>
      </c>
    </row>
    <row r="38">
      <c r="A38" s="9" t="inlineStr">
        <is>
          <t>Qatar Digital Services</t>
        </is>
      </c>
      <c r="B38" s="9" t="n">
        <v>1</v>
      </c>
    </row>
    <row r="39">
      <c r="A39" s="9" t="inlineStr">
        <is>
          <t>Business Partners Co</t>
        </is>
      </c>
      <c r="B39" s="9" t="n">
        <v>1</v>
      </c>
    </row>
    <row r="40">
      <c r="A40" s="9" t="inlineStr">
        <is>
          <t>Global Tech Inc</t>
        </is>
      </c>
      <c r="B40" s="9" t="n">
        <v>1</v>
      </c>
    </row>
    <row r="41">
      <c r="A41" s="9" t="inlineStr">
        <is>
          <t>Doha University</t>
        </is>
      </c>
      <c r="B41" s="9" t="n">
        <v>1</v>
      </c>
    </row>
    <row r="42">
      <c r="A42" s="9" t="inlineStr">
        <is>
          <t>Singapore Solutions</t>
        </is>
      </c>
      <c r="B42" s="9" t="n">
        <v>1</v>
      </c>
    </row>
    <row r="43">
      <c r="A43" s="9" t="inlineStr">
        <is>
          <t>Qatar Airways</t>
        </is>
      </c>
      <c r="B43" s="9" t="n">
        <v>1</v>
      </c>
    </row>
    <row r="44">
      <c r="A44" s="9" t="inlineStr">
        <is>
          <t>Ministry of Interior</t>
        </is>
      </c>
      <c r="B44" s="9" t="n">
        <v>1</v>
      </c>
    </row>
    <row r="45">
      <c r="A45" s="9" t="inlineStr">
        <is>
          <t>Microsoft Qatar</t>
        </is>
      </c>
      <c r="B45" s="9" t="n">
        <v>1</v>
      </c>
    </row>
  </sheetData>
  <mergeCells count="5">
    <mergeCell ref="A5:D5"/>
    <mergeCell ref="A23:D23"/>
    <mergeCell ref="A34:D34"/>
    <mergeCell ref="A1:H1"/>
    <mergeCell ref="A13:D13"/>
  </mergeCells>
  <dataValidations count="2">
    <dataValidation sqref="B3" showDropDown="0" showInputMessage="0" showErrorMessage="0" allowBlank="0" type="list">
      <formula1>"1,2,3,4,5,6,7,8,9,10,11,12"</formula1>
    </dataValidation>
    <dataValidation sqref="D3" showDropDown="0" showInputMessage="0" showErrorMessage="0" allowBlank="0" type="list">
      <formula1>"2024,2025,2026,2027,2028"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8" max="8"/>
    <col width="25" customWidth="1" min="9" max="9"/>
  </cols>
  <sheetData>
    <row r="1" ht="30" customHeight="1">
      <c r="A1" s="4" t="inlineStr">
        <is>
          <t>NABTATECH SOLUTIONS - APPOINTMENT SCHEDULER</t>
        </is>
      </c>
      <c r="H1" s="6" t="inlineStr">
        <is>
          <t>NEW APPOINTMENT BOOKING</t>
        </is>
      </c>
    </row>
    <row r="3">
      <c r="A3" s="5" t="inlineStr">
        <is>
          <t>Week Starting:</t>
        </is>
      </c>
      <c r="B3" s="30" t="n">
        <v>46069</v>
      </c>
      <c r="D3" t="inlineStr">
        <is>
          <t>Legend:</t>
        </is>
      </c>
      <c r="E3" s="11" t="inlineStr">
        <is>
          <t>Available</t>
        </is>
      </c>
      <c r="F3" s="12" t="inlineStr">
        <is>
          <t>Booked</t>
        </is>
      </c>
      <c r="G3" s="13" t="inlineStr">
        <is>
          <t>Pending</t>
        </is>
      </c>
      <c r="H3" s="7" t="inlineStr">
        <is>
          <t>Visitor Name:</t>
        </is>
      </c>
      <c r="I3" s="9" t="inlineStr"/>
    </row>
    <row r="4">
      <c r="H4" s="7" t="inlineStr">
        <is>
          <t>Company:</t>
        </is>
      </c>
      <c r="I4" s="9" t="inlineStr"/>
    </row>
    <row r="5">
      <c r="A5" s="1" t="inlineStr">
        <is>
          <t>Time</t>
        </is>
      </c>
      <c r="B5" s="1" t="inlineStr">
        <is>
          <t>Monday</t>
        </is>
      </c>
      <c r="C5" s="1" t="inlineStr">
        <is>
          <t>Tuesday</t>
        </is>
      </c>
      <c r="D5" s="1" t="inlineStr">
        <is>
          <t>Wednesday</t>
        </is>
      </c>
      <c r="E5" s="1" t="inlineStr">
        <is>
          <t>Thursday</t>
        </is>
      </c>
      <c r="F5" s="1" t="inlineStr">
        <is>
          <t>Friday</t>
        </is>
      </c>
      <c r="H5" s="7" t="inlineStr">
        <is>
          <t>Contact Phone:</t>
        </is>
      </c>
      <c r="I5" s="9" t="inlineStr"/>
    </row>
    <row r="6">
      <c r="A6" s="14" t="inlineStr">
        <is>
          <t>08:00</t>
        </is>
      </c>
      <c r="B6" s="15" t="inlineStr">
        <is>
          <t>Ahmed Hassan</t>
        </is>
      </c>
      <c r="C6" s="15" t="inlineStr">
        <is>
          <t>Sara Ibrahim</t>
        </is>
      </c>
      <c r="D6" s="16" t="inlineStr">
        <is>
          <t>Available</t>
        </is>
      </c>
      <c r="E6" s="16" t="inlineStr">
        <is>
          <t>Available</t>
        </is>
      </c>
      <c r="F6" s="16" t="inlineStr">
        <is>
          <t>Available</t>
        </is>
      </c>
      <c r="H6" s="7" t="inlineStr">
        <is>
          <t>Email:</t>
        </is>
      </c>
      <c r="I6" s="9" t="inlineStr"/>
    </row>
    <row r="7">
      <c r="A7" s="14" t="inlineStr">
        <is>
          <t>08:30</t>
        </is>
      </c>
      <c r="B7" s="15" t="inlineStr">
        <is>
          <t>Ahmed Hassan</t>
        </is>
      </c>
      <c r="C7" s="16" t="inlineStr">
        <is>
          <t>Available</t>
        </is>
      </c>
      <c r="D7" s="16" t="inlineStr">
        <is>
          <t>Available</t>
        </is>
      </c>
      <c r="E7" s="16" t="inlineStr">
        <is>
          <t>Available</t>
        </is>
      </c>
      <c r="F7" s="16" t="inlineStr">
        <is>
          <t>Available</t>
        </is>
      </c>
      <c r="H7" s="7" t="inlineStr">
        <is>
          <t>Person to Meet:</t>
        </is>
      </c>
      <c r="I7" s="9" t="inlineStr"/>
    </row>
    <row r="8">
      <c r="A8" s="14" t="inlineStr">
        <is>
          <t>09:00</t>
        </is>
      </c>
      <c r="B8" s="16" t="inlineStr">
        <is>
          <t>Available</t>
        </is>
      </c>
      <c r="C8" s="16" t="inlineStr">
        <is>
          <t>Available</t>
        </is>
      </c>
      <c r="D8" s="17" t="inlineStr">
        <is>
          <t>Mohammed Ali</t>
        </is>
      </c>
      <c r="E8" s="16" t="inlineStr">
        <is>
          <t>Available</t>
        </is>
      </c>
      <c r="F8" s="16" t="inlineStr">
        <is>
          <t>Available</t>
        </is>
      </c>
      <c r="H8" s="7" t="inlineStr">
        <is>
          <t>Department:</t>
        </is>
      </c>
      <c r="I8" s="9" t="inlineStr"/>
    </row>
    <row r="9">
      <c r="A9" s="14" t="inlineStr">
        <is>
          <t>09:30</t>
        </is>
      </c>
      <c r="B9" s="16" t="inlineStr">
        <is>
          <t>Available</t>
        </is>
      </c>
      <c r="C9" s="16" t="inlineStr">
        <is>
          <t>Available</t>
        </is>
      </c>
      <c r="D9" s="17" t="inlineStr">
        <is>
          <t>Mohammed Ali</t>
        </is>
      </c>
      <c r="E9" s="16" t="inlineStr">
        <is>
          <t>Available</t>
        </is>
      </c>
      <c r="F9" s="16" t="inlineStr">
        <is>
          <t>Available</t>
        </is>
      </c>
      <c r="H9" s="7" t="inlineStr">
        <is>
          <t>Date:</t>
        </is>
      </c>
      <c r="I9" s="9" t="inlineStr"/>
    </row>
    <row r="10">
      <c r="A10" s="14" t="inlineStr">
        <is>
          <t>10:00</t>
        </is>
      </c>
      <c r="B10" s="15" t="inlineStr">
        <is>
          <t>Fatima Al-Said</t>
        </is>
      </c>
      <c r="C10" s="15" t="inlineStr">
        <is>
          <t>Fatima Al-Said</t>
        </is>
      </c>
      <c r="D10" s="16" t="inlineStr">
        <is>
          <t>Available</t>
        </is>
      </c>
      <c r="E10" s="16" t="inlineStr">
        <is>
          <t>Available</t>
        </is>
      </c>
      <c r="F10" s="16" t="inlineStr">
        <is>
          <t>Available</t>
        </is>
      </c>
      <c r="H10" s="7" t="inlineStr">
        <is>
          <t>Time Slot:</t>
        </is>
      </c>
      <c r="I10" s="9" t="inlineStr"/>
    </row>
    <row r="11">
      <c r="A11" s="14" t="inlineStr">
        <is>
          <t>10:30</t>
        </is>
      </c>
      <c r="B11" s="16" t="inlineStr">
        <is>
          <t>Available</t>
        </is>
      </c>
      <c r="C11" s="16" t="inlineStr">
        <is>
          <t>Available</t>
        </is>
      </c>
      <c r="D11" s="16" t="inlineStr">
        <is>
          <t>Available</t>
        </is>
      </c>
      <c r="E11" s="16" t="inlineStr">
        <is>
          <t>Available</t>
        </is>
      </c>
      <c r="F11" s="16" t="inlineStr">
        <is>
          <t>Available</t>
        </is>
      </c>
      <c r="H11" s="7" t="inlineStr">
        <is>
          <t>Purpose:</t>
        </is>
      </c>
      <c r="I11" s="9" t="inlineStr"/>
    </row>
    <row r="12">
      <c r="A12" s="14" t="inlineStr">
        <is>
          <t>11:00</t>
        </is>
      </c>
      <c r="B12" s="16" t="inlineStr">
        <is>
          <t>Available</t>
        </is>
      </c>
      <c r="C12" s="16" t="inlineStr">
        <is>
          <t>Available</t>
        </is>
      </c>
      <c r="D12" s="16" t="inlineStr">
        <is>
          <t>Available</t>
        </is>
      </c>
      <c r="E12" s="15" t="inlineStr">
        <is>
          <t>John Smith</t>
        </is>
      </c>
      <c r="F12" s="16" t="inlineStr">
        <is>
          <t>Available</t>
        </is>
      </c>
      <c r="H12" s="7" t="inlineStr">
        <is>
          <t>Status:</t>
        </is>
      </c>
      <c r="I12" s="9" t="inlineStr">
        <is>
          <t>Pending</t>
        </is>
      </c>
    </row>
    <row r="13">
      <c r="A13" s="14" t="inlineStr">
        <is>
          <t>11:30</t>
        </is>
      </c>
      <c r="B13" s="16" t="inlineStr">
        <is>
          <t>Available</t>
        </is>
      </c>
      <c r="C13" s="16" t="inlineStr">
        <is>
          <t>Available</t>
        </is>
      </c>
      <c r="D13" s="16" t="inlineStr">
        <is>
          <t>Available</t>
        </is>
      </c>
      <c r="E13" s="15" t="inlineStr">
        <is>
          <t>John Smith</t>
        </is>
      </c>
      <c r="F13" s="16" t="inlineStr">
        <is>
          <t>Available</t>
        </is>
      </c>
    </row>
    <row r="14">
      <c r="A14" s="14" t="inlineStr">
        <is>
          <t>12:00</t>
        </is>
      </c>
      <c r="B14" s="15" t="inlineStr">
        <is>
          <t>Layla Mohammed</t>
        </is>
      </c>
      <c r="C14" s="16" t="inlineStr">
        <is>
          <t>Available</t>
        </is>
      </c>
      <c r="D14" s="16" t="inlineStr">
        <is>
          <t>Available</t>
        </is>
      </c>
      <c r="E14" s="16" t="inlineStr">
        <is>
          <t>Available</t>
        </is>
      </c>
      <c r="F14" s="16" t="inlineStr">
        <is>
          <t>Available</t>
        </is>
      </c>
    </row>
    <row r="15">
      <c r="A15" s="14" t="inlineStr">
        <is>
          <t>12:30</t>
        </is>
      </c>
      <c r="B15" s="16" t="inlineStr">
        <is>
          <t>Available</t>
        </is>
      </c>
      <c r="C15" s="16" t="inlineStr">
        <is>
          <t>Available</t>
        </is>
      </c>
      <c r="D15" s="16" t="inlineStr">
        <is>
          <t>Available</t>
        </is>
      </c>
      <c r="E15" s="16" t="inlineStr">
        <is>
          <t>Available</t>
        </is>
      </c>
      <c r="F15" s="17" t="inlineStr">
        <is>
          <t>David Chen</t>
        </is>
      </c>
    </row>
    <row r="16">
      <c r="A16" s="14" t="inlineStr">
        <is>
          <t>13:00</t>
        </is>
      </c>
      <c r="B16" s="16" t="inlineStr">
        <is>
          <t>Available</t>
        </is>
      </c>
      <c r="C16" s="16" t="inlineStr">
        <is>
          <t>Available</t>
        </is>
      </c>
      <c r="D16" s="16" t="inlineStr">
        <is>
          <t>Available</t>
        </is>
      </c>
      <c r="E16" s="16" t="inlineStr">
        <is>
          <t>Available</t>
        </is>
      </c>
      <c r="F16" s="17" t="inlineStr">
        <is>
          <t>David Chen</t>
        </is>
      </c>
    </row>
    <row r="17">
      <c r="A17" s="14" t="inlineStr">
        <is>
          <t>13:30</t>
        </is>
      </c>
      <c r="B17" s="16" t="inlineStr">
        <is>
          <t>Available</t>
        </is>
      </c>
      <c r="C17" s="16" t="inlineStr">
        <is>
          <t>Available</t>
        </is>
      </c>
      <c r="D17" s="16" t="inlineStr">
        <is>
          <t>Available</t>
        </is>
      </c>
      <c r="E17" s="16" t="inlineStr">
        <is>
          <t>Available</t>
        </is>
      </c>
      <c r="F17" s="16" t="inlineStr">
        <is>
          <t>Available</t>
        </is>
      </c>
    </row>
    <row r="18">
      <c r="A18" s="14" t="inlineStr">
        <is>
          <t>14:00</t>
        </is>
      </c>
      <c r="B18" s="16" t="inlineStr">
        <is>
          <t>Available</t>
        </is>
      </c>
      <c r="C18" s="16" t="inlineStr">
        <is>
          <t>Available</t>
        </is>
      </c>
      <c r="D18" s="16" t="inlineStr">
        <is>
          <t>Available</t>
        </is>
      </c>
      <c r="E18" s="16" t="inlineStr">
        <is>
          <t>Available</t>
        </is>
      </c>
      <c r="F18" s="16" t="inlineStr">
        <is>
          <t>Available</t>
        </is>
      </c>
    </row>
    <row r="19">
      <c r="A19" s="14" t="inlineStr">
        <is>
          <t>14:30</t>
        </is>
      </c>
      <c r="B19" s="16" t="inlineStr">
        <is>
          <t>Available</t>
        </is>
      </c>
      <c r="C19" s="16" t="inlineStr">
        <is>
          <t>Available</t>
        </is>
      </c>
      <c r="D19" s="16" t="inlineStr">
        <is>
          <t>Available</t>
        </is>
      </c>
      <c r="E19" s="16" t="inlineStr">
        <is>
          <t>Available</t>
        </is>
      </c>
      <c r="F19" s="16" t="inlineStr">
        <is>
          <t>Available</t>
        </is>
      </c>
    </row>
    <row r="20">
      <c r="A20" s="14" t="inlineStr">
        <is>
          <t>15:00</t>
        </is>
      </c>
      <c r="B20" s="16" t="inlineStr">
        <is>
          <t>Available</t>
        </is>
      </c>
      <c r="C20" s="16" t="inlineStr">
        <is>
          <t>Available</t>
        </is>
      </c>
      <c r="D20" s="16" t="inlineStr">
        <is>
          <t>Available</t>
        </is>
      </c>
      <c r="E20" s="16" t="inlineStr">
        <is>
          <t>Available</t>
        </is>
      </c>
      <c r="F20" s="16" t="inlineStr">
        <is>
          <t>Available</t>
        </is>
      </c>
    </row>
    <row r="21">
      <c r="A21" s="14" t="inlineStr">
        <is>
          <t>15:30</t>
        </is>
      </c>
      <c r="B21" s="16" t="inlineStr">
        <is>
          <t>Available</t>
        </is>
      </c>
      <c r="C21" s="16" t="inlineStr">
        <is>
          <t>Available</t>
        </is>
      </c>
      <c r="D21" s="16" t="inlineStr">
        <is>
          <t>Available</t>
        </is>
      </c>
      <c r="E21" s="16" t="inlineStr">
        <is>
          <t>Available</t>
        </is>
      </c>
      <c r="F21" s="16" t="inlineStr">
        <is>
          <t>Available</t>
        </is>
      </c>
    </row>
    <row r="22">
      <c r="A22" s="14" t="inlineStr">
        <is>
          <t>16:00</t>
        </is>
      </c>
      <c r="B22" s="16" t="inlineStr">
        <is>
          <t>Available</t>
        </is>
      </c>
      <c r="C22" s="16" t="inlineStr">
        <is>
          <t>Available</t>
        </is>
      </c>
      <c r="D22" s="16" t="inlineStr">
        <is>
          <t>Available</t>
        </is>
      </c>
      <c r="E22" s="16" t="inlineStr">
        <is>
          <t>Available</t>
        </is>
      </c>
      <c r="F22" s="16" t="inlineStr">
        <is>
          <t>Available</t>
        </is>
      </c>
    </row>
    <row r="23">
      <c r="A23" s="14" t="inlineStr">
        <is>
          <t>16:30</t>
        </is>
      </c>
      <c r="B23" s="16" t="inlineStr">
        <is>
          <t>Available</t>
        </is>
      </c>
      <c r="C23" s="16" t="inlineStr">
        <is>
          <t>Available</t>
        </is>
      </c>
      <c r="D23" s="16" t="inlineStr">
        <is>
          <t>Available</t>
        </is>
      </c>
      <c r="E23" s="16" t="inlineStr">
        <is>
          <t>Available</t>
        </is>
      </c>
      <c r="F23" s="16" t="inlineStr">
        <is>
          <t>Available</t>
        </is>
      </c>
    </row>
    <row r="24">
      <c r="A24" s="14" t="inlineStr">
        <is>
          <t>17:00</t>
        </is>
      </c>
      <c r="B24" s="16" t="inlineStr">
        <is>
          <t>Available</t>
        </is>
      </c>
      <c r="C24" s="16" t="inlineStr">
        <is>
          <t>Available</t>
        </is>
      </c>
      <c r="D24" s="16" t="inlineStr">
        <is>
          <t>Available</t>
        </is>
      </c>
      <c r="E24" s="16" t="inlineStr">
        <is>
          <t>Available</t>
        </is>
      </c>
      <c r="F24" s="16" t="inlineStr">
        <is>
          <t>Available</t>
        </is>
      </c>
    </row>
    <row r="25">
      <c r="A25" s="14" t="inlineStr">
        <is>
          <t>17:30</t>
        </is>
      </c>
      <c r="B25" s="16" t="inlineStr">
        <is>
          <t>Available</t>
        </is>
      </c>
      <c r="C25" s="16" t="inlineStr">
        <is>
          <t>Available</t>
        </is>
      </c>
      <c r="D25" s="16" t="inlineStr">
        <is>
          <t>Available</t>
        </is>
      </c>
      <c r="E25" s="16" t="inlineStr">
        <is>
          <t>Available</t>
        </is>
      </c>
      <c r="F25" s="16" t="inlineStr">
        <is>
          <t>Available</t>
        </is>
      </c>
    </row>
  </sheetData>
  <mergeCells count="2">
    <mergeCell ref="H1:L1"/>
    <mergeCell ref="A1:F1"/>
  </mergeCells>
  <dataValidations count="3">
    <dataValidation sqref="B6:F25" showDropDown="0" showInputMessage="0" showErrorMessage="0" allowBlank="1" type="list">
      <formula1>"Available,Booked,Pending,Completed"</formula1>
    </dataValidation>
    <dataValidation sqref="I8" showDropDown="0" showInputMessage="0" showErrorMessage="0" allowBlank="1" type="list">
      <formula1>"IT,HR,Management,Finance,DevOps,Operations"</formula1>
    </dataValidation>
    <dataValidation sqref="I12" showDropDown="0" showInputMessage="0" showErrorMessage="0" allowBlank="1" type="list">
      <formula1>"Pending,Confirmed,Cancelled"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</cols>
  <sheetData>
    <row r="1" ht="40" customHeight="1">
      <c r="A1" s="18" t="inlineStr">
        <is>
          <t>NABTATECH RECEPTION DASHBOARD</t>
        </is>
      </c>
    </row>
    <row r="2">
      <c r="A2" s="5" t="inlineStr">
        <is>
          <t>Today's Date:</t>
        </is>
      </c>
      <c r="B2" s="30">
        <f>TODAY()</f>
        <v/>
      </c>
      <c r="D2" s="5" t="inlineStr">
        <is>
          <t>Last Updated:</t>
        </is>
      </c>
      <c r="E2" s="31">
        <f>NOW()</f>
        <v/>
      </c>
    </row>
    <row r="4">
      <c r="A4" s="20" t="inlineStr">
        <is>
          <t>TODAY'S VISITORS</t>
        </is>
      </c>
      <c r="C4" s="20" t="inlineStr">
        <is>
          <t>THIS WEEK</t>
        </is>
      </c>
      <c r="E4" s="20" t="inlineStr">
        <is>
          <t>THIS MONTH</t>
        </is>
      </c>
      <c r="G4" s="21" t="inlineStr">
        <is>
          <t>CHECKED IN NOW</t>
        </is>
      </c>
    </row>
    <row r="5">
      <c r="A5" s="22">
        <f>COUNTIF('Daily Visitor Log'!A:A,TODAY())</f>
        <v/>
      </c>
      <c r="C5" s="22">
        <f>COUNTIFS('Daily Visitor Log'!A:A,"&gt;="&amp;(TODAY()-WEEKDAY(TODAY(),2)+1),'Daily Visitor Log'!A:A,"&lt;="&amp;TODAY())</f>
        <v/>
      </c>
      <c r="E5" s="22">
        <f>COUNTIFS('Daily Visitor Log'!A:A,"&gt;="&amp;DATE(YEAR(TODAY()),MONTH(TODAY()),1),'Daily Visitor Log'!A:A,"&lt;="&amp;TODAY())</f>
        <v/>
      </c>
      <c r="G5" s="23">
        <f>COUNTIF('Daily Visitor Log'!M:M,"Checked In")</f>
        <v/>
      </c>
    </row>
    <row r="6"/>
    <row r="8">
      <c r="A8" s="24" t="inlineStr">
        <is>
          <t>VISITORS BY DEPARTMENT</t>
        </is>
      </c>
      <c r="F8" s="24" t="inlineStr">
        <is>
          <t>STATUS SUMMARY</t>
        </is>
      </c>
    </row>
    <row r="9">
      <c r="A9" s="8" t="inlineStr">
        <is>
          <t>Department</t>
        </is>
      </c>
      <c r="B9" s="8" t="inlineStr">
        <is>
          <t>Count</t>
        </is>
      </c>
      <c r="C9" s="8" t="inlineStr">
        <is>
          <t>% of Total</t>
        </is>
      </c>
      <c r="F9" s="8" t="inlineStr">
        <is>
          <t>Status</t>
        </is>
      </c>
      <c r="G9" s="8" t="inlineStr">
        <is>
          <t>Count</t>
        </is>
      </c>
    </row>
    <row r="10">
      <c r="A10" s="9" t="inlineStr">
        <is>
          <t>IT</t>
        </is>
      </c>
      <c r="B10" s="9">
        <f>COUNTIF('Daily Visitor Log'!H:H,A10)</f>
        <v/>
      </c>
      <c r="C10" s="32">
        <f>IFERROR(B10/SUM($B$10:$B$15),0)</f>
        <v/>
      </c>
      <c r="F10" s="26" t="inlineStr">
        <is>
          <t>Checked In</t>
        </is>
      </c>
      <c r="G10" s="9">
        <f>COUNTIF('Daily Visitor Log'!M:M,F10)</f>
        <v/>
      </c>
    </row>
    <row r="11">
      <c r="A11" s="9" t="inlineStr">
        <is>
          <t>HR</t>
        </is>
      </c>
      <c r="B11" s="9">
        <f>COUNTIF('Daily Visitor Log'!H:H,A11)</f>
        <v/>
      </c>
      <c r="C11" s="32">
        <f>IFERROR(B11/SUM($B$10:$B$15),0)</f>
        <v/>
      </c>
      <c r="F11" s="27" t="inlineStr">
        <is>
          <t>Checked Out</t>
        </is>
      </c>
      <c r="G11" s="9">
        <f>COUNTIF('Daily Visitor Log'!M:M,F11)</f>
        <v/>
      </c>
    </row>
    <row r="12">
      <c r="A12" s="9" t="inlineStr">
        <is>
          <t>Management</t>
        </is>
      </c>
      <c r="B12" s="9">
        <f>COUNTIF('Daily Visitor Log'!H:H,A12)</f>
        <v/>
      </c>
      <c r="C12" s="32">
        <f>IFERROR(B12/SUM($B$10:$B$15),0)</f>
        <v/>
      </c>
      <c r="F12" s="28" t="inlineStr">
        <is>
          <t>Cancelled</t>
        </is>
      </c>
      <c r="G12" s="9">
        <f>COUNTIF('Daily Visitor Log'!M:M,F12)</f>
        <v/>
      </c>
    </row>
    <row r="13">
      <c r="A13" s="9" t="inlineStr">
        <is>
          <t>Finance</t>
        </is>
      </c>
      <c r="B13" s="9">
        <f>COUNTIF('Daily Visitor Log'!H:H,A13)</f>
        <v/>
      </c>
      <c r="C13" s="32">
        <f>IFERROR(B13/SUM($B$10:$B$15),0)</f>
        <v/>
      </c>
    </row>
    <row r="14">
      <c r="A14" s="9" t="inlineStr">
        <is>
          <t>DevOps</t>
        </is>
      </c>
      <c r="B14" s="9">
        <f>COUNTIF('Daily Visitor Log'!H:H,A14)</f>
        <v/>
      </c>
      <c r="C14" s="32">
        <f>IFERROR(B14/SUM($B$10:$B$15),0)</f>
        <v/>
      </c>
    </row>
    <row r="15">
      <c r="A15" s="9" t="inlineStr">
        <is>
          <t>Operations</t>
        </is>
      </c>
      <c r="B15" s="9">
        <f>COUNTIF('Daily Visitor Log'!H:H,A15)</f>
        <v/>
      </c>
      <c r="C15" s="32">
        <f>IFERROR(B15/SUM($B$10:$B$15),0)</f>
        <v/>
      </c>
    </row>
    <row r="17">
      <c r="A17" s="24" t="inlineStr">
        <is>
          <t>RECENT VISITORS (Last 5)</t>
        </is>
      </c>
    </row>
    <row r="18">
      <c r="A18" s="29" t="inlineStr">
        <is>
          <t>Date</t>
        </is>
      </c>
      <c r="B18" s="29" t="inlineStr">
        <is>
          <t>Visitor Name</t>
        </is>
      </c>
      <c r="C18" s="29" t="inlineStr">
        <is>
          <t>Company</t>
        </is>
      </c>
      <c r="D18" s="29" t="inlineStr">
        <is>
          <t>Department</t>
        </is>
      </c>
      <c r="E18" s="29" t="inlineStr">
        <is>
          <t>Person to Meet</t>
        </is>
      </c>
      <c r="F18" s="29" t="inlineStr">
        <is>
          <t>Status</t>
        </is>
      </c>
    </row>
    <row r="19">
      <c r="A19" s="9" t="inlineStr">
        <is>
          <t>2026-02-17</t>
        </is>
      </c>
      <c r="B19" s="9" t="inlineStr">
        <is>
          <t>Ahmed Hassan</t>
        </is>
      </c>
      <c r="C19" s="9" t="inlineStr">
        <is>
          <t>Tech Solutions Ltd</t>
        </is>
      </c>
      <c r="D19" s="9" t="inlineStr">
        <is>
          <t>IT</t>
        </is>
      </c>
      <c r="E19" s="9" t="inlineStr">
        <is>
          <t>Mozan Ahmed</t>
        </is>
      </c>
      <c r="F19" s="27" t="inlineStr">
        <is>
          <t>Checked Out</t>
        </is>
      </c>
    </row>
    <row r="20">
      <c r="A20" s="9" t="inlineStr">
        <is>
          <t>2026-02-17</t>
        </is>
      </c>
      <c r="B20" s="9" t="inlineStr">
        <is>
          <t>Mohammed Ali</t>
        </is>
      </c>
      <c r="C20" s="9" t="inlineStr">
        <is>
          <t>Qatar Digital Services</t>
        </is>
      </c>
      <c r="D20" s="9" t="inlineStr">
        <is>
          <t>IT</t>
        </is>
      </c>
      <c r="E20" s="9" t="inlineStr">
        <is>
          <t>IT Manager</t>
        </is>
      </c>
      <c r="F20" s="26" t="inlineStr">
        <is>
          <t>Checked In</t>
        </is>
      </c>
    </row>
    <row r="21">
      <c r="A21" s="9" t="inlineStr">
        <is>
          <t>2026-02-17</t>
        </is>
      </c>
      <c r="B21" s="9" t="inlineStr">
        <is>
          <t>Fatima Al-Said</t>
        </is>
      </c>
      <c r="C21" s="9" t="inlineStr">
        <is>
          <t>Business Partners Co</t>
        </is>
      </c>
      <c r="D21" s="9" t="inlineStr">
        <is>
          <t>Management</t>
        </is>
      </c>
      <c r="E21" s="9" t="inlineStr">
        <is>
          <t>CEO</t>
        </is>
      </c>
      <c r="F21" s="27" t="inlineStr">
        <is>
          <t>Checked Out</t>
        </is>
      </c>
    </row>
    <row r="22">
      <c r="A22" s="9" t="inlineStr">
        <is>
          <t>2026-02-17</t>
        </is>
      </c>
      <c r="B22" s="9" t="inlineStr">
        <is>
          <t>John Smith</t>
        </is>
      </c>
      <c r="C22" s="9" t="inlineStr">
        <is>
          <t>Global Tech Inc</t>
        </is>
      </c>
      <c r="D22" s="9" t="inlineStr">
        <is>
          <t>IT</t>
        </is>
      </c>
      <c r="E22" s="9" t="inlineStr">
        <is>
          <t>IT Director</t>
        </is>
      </c>
      <c r="F22" s="27" t="inlineStr">
        <is>
          <t>Checked Out</t>
        </is>
      </c>
    </row>
    <row r="23">
      <c r="A23" s="9" t="inlineStr">
        <is>
          <t>2026-02-17</t>
        </is>
      </c>
      <c r="B23" s="9" t="inlineStr">
        <is>
          <t>Layla Mohammed</t>
        </is>
      </c>
      <c r="C23" s="9" t="inlineStr">
        <is>
          <t>Doha University</t>
        </is>
      </c>
      <c r="D23" s="9" t="inlineStr">
        <is>
          <t>HR</t>
        </is>
      </c>
      <c r="E23" s="9" t="inlineStr">
        <is>
          <t>HR Manager</t>
        </is>
      </c>
      <c r="F23" s="27" t="inlineStr">
        <is>
          <t>Checked Out</t>
        </is>
      </c>
    </row>
  </sheetData>
  <mergeCells count="12">
    <mergeCell ref="A4:B4"/>
    <mergeCell ref="G4:H4"/>
    <mergeCell ref="A1:J1"/>
    <mergeCell ref="E4:F4"/>
    <mergeCell ref="A8:D8"/>
    <mergeCell ref="C5:D6"/>
    <mergeCell ref="A5:B6"/>
    <mergeCell ref="G5:H6"/>
    <mergeCell ref="E5:F6"/>
    <mergeCell ref="F8:H8"/>
    <mergeCell ref="A17:H17"/>
    <mergeCell ref="C4:D4"/>
  </mergeCells>
  <conditionalFormatting sqref="B10:B15">
    <cfRule type="dataBar" priority="1">
      <dataBar showValue="1">
        <cfvo type="num" val="0"/>
        <cfvo type="max"/>
        <color rgb="004472C4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2026-02-16T03:32:44Z</dcterms:created>
  <dcterms:modified xmlns:dcterms="http://purl.org/dc/terms/" xmlns:xsi="http://www.w3.org/2001/XMLSchema-instance" xsi:type="dcterms:W3CDTF">2026-02-16T03:39:25Z</dcterms:modified>
</cp:coreProperties>
</file>